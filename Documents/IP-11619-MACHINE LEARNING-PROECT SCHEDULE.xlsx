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manvi\OneDrive\Documents\Python\ML\ML\INTERN PROJECT\Documents\"/>
    </mc:Choice>
  </mc:AlternateContent>
  <xr:revisionPtr revIDLastSave="0" documentId="13_ncr:1_{8A192DFD-2D19-4DE7-82B5-D82ABDD10FBD}" xr6:coauthVersionLast="47" xr6:coauthVersionMax="47" xr10:uidLastSave="{00000000-0000-0000-0000-000000000000}"/>
  <bookViews>
    <workbookView xWindow="-108" yWindow="-108" windowWidth="23256" windowHeight="12456" activeTab="1" xr2:uid="{00000000-000D-0000-FFFF-FFFF00000000}"/>
  </bookViews>
  <sheets>
    <sheet name="Guide" sheetId="1" r:id="rId1"/>
    <sheet name="Project Schedule" sheetId="2" r:id="rId2"/>
    <sheet name="EXAMPLE" sheetId="3"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9"/>
</workbook>
</file>

<file path=xl/calcChain.xml><?xml version="1.0" encoding="utf-8"?>
<calcChain xmlns="http://schemas.openxmlformats.org/spreadsheetml/2006/main">
  <c r="P6" i="2" l="1"/>
  <c r="P7" i="2" l="1"/>
  <c r="P5" i="2"/>
  <c r="Q6" i="2"/>
  <c r="Q7" i="2" l="1"/>
  <c r="R6" i="2"/>
  <c r="R7" i="2" l="1"/>
  <c r="S6" i="2"/>
  <c r="T6" i="2" l="1"/>
  <c r="S7" i="2"/>
  <c r="U6" i="2" l="1"/>
  <c r="T7" i="2"/>
  <c r="V6" i="2" l="1"/>
  <c r="U7" i="2"/>
  <c r="W6" i="2" l="1"/>
  <c r="V7" i="2"/>
  <c r="W5" i="2" l="1"/>
  <c r="X6" i="2"/>
  <c r="W7" i="2"/>
  <c r="Y6" i="2" l="1"/>
  <c r="X7" i="2"/>
  <c r="Z6" i="2" l="1"/>
  <c r="Y7" i="2"/>
  <c r="AA6" i="2" l="1"/>
  <c r="Z7" i="2"/>
  <c r="AB6" i="2" l="1"/>
  <c r="AA7" i="2"/>
  <c r="AB7" i="2" l="1"/>
  <c r="AC6" i="2"/>
  <c r="AC7" i="2" l="1"/>
  <c r="AD6" i="2"/>
  <c r="AE6" i="2" l="1"/>
  <c r="AD7" i="2"/>
  <c r="AD5" i="2"/>
  <c r="AE7" i="2" l="1"/>
  <c r="AF6" i="2"/>
  <c r="AF7" i="2" l="1"/>
  <c r="AG6" i="2"/>
  <c r="AG7" i="2" l="1"/>
  <c r="AH6" i="2"/>
  <c r="AI6" i="2" l="1"/>
  <c r="AH7" i="2"/>
  <c r="AJ6" i="2" l="1"/>
  <c r="AI7" i="2"/>
  <c r="AJ7" i="2" l="1"/>
  <c r="AK6" i="2"/>
  <c r="AL6" i="2" l="1"/>
  <c r="AK7" i="2"/>
  <c r="AK5" i="2"/>
  <c r="AM6" i="2" l="1"/>
  <c r="AL7" i="2"/>
  <c r="AM7" i="2" l="1"/>
  <c r="AN6" i="2"/>
  <c r="AN7" i="2" l="1"/>
  <c r="AO6" i="2"/>
  <c r="AO7" i="2" l="1"/>
  <c r="AP6" i="2"/>
  <c r="AP7" i="2" l="1"/>
  <c r="AQ6" i="2"/>
  <c r="AQ7" i="2" l="1"/>
  <c r="AR6" i="2"/>
  <c r="AS6" i="2" l="1"/>
  <c r="AR7" i="2"/>
  <c r="AR5" i="2"/>
  <c r="AT6" i="2" l="1"/>
  <c r="AS7" i="2"/>
  <c r="AT7" i="2" l="1"/>
  <c r="AU6" i="2"/>
  <c r="AV6" i="2" l="1"/>
  <c r="AU7" i="2"/>
  <c r="AW6" i="2" l="1"/>
  <c r="AV7" i="2"/>
  <c r="AX6" i="2" l="1"/>
  <c r="AW7" i="2"/>
  <c r="AX7" i="2" l="1"/>
  <c r="AY6" i="2"/>
  <c r="AZ6" i="2" l="1"/>
  <c r="AY7" i="2"/>
  <c r="AY5" i="2"/>
  <c r="AZ7" i="2" l="1"/>
  <c r="BA6" i="2"/>
  <c r="BB6" i="2" l="1"/>
  <c r="BA7" i="2"/>
  <c r="BC6" i="2" l="1"/>
  <c r="BB7" i="2"/>
  <c r="BD6" i="2" l="1"/>
  <c r="BC7" i="2"/>
  <c r="BD7" i="2" l="1"/>
  <c r="BE6" i="2"/>
  <c r="BE7" i="2" l="1"/>
  <c r="BF6" i="2"/>
  <c r="BG6" i="2" l="1"/>
  <c r="BF7" i="2"/>
  <c r="BF5" i="2"/>
  <c r="BG7" i="2" l="1"/>
  <c r="BH6" i="2"/>
  <c r="BI6" i="2" l="1"/>
  <c r="BH7" i="2"/>
  <c r="BI7" i="2" l="1"/>
  <c r="BJ6" i="2"/>
  <c r="BK6" i="2" l="1"/>
  <c r="BJ7" i="2"/>
  <c r="BK7" i="2" l="1"/>
  <c r="BL6" i="2"/>
  <c r="BM6" i="2" l="1"/>
  <c r="BL7" i="2"/>
  <c r="BM7" i="2" l="1"/>
  <c r="BN6" i="2"/>
  <c r="BM5" i="2"/>
  <c r="BO6" i="2" l="1"/>
  <c r="BN7" i="2"/>
  <c r="BO7" i="2" l="1"/>
  <c r="BP6" i="2"/>
  <c r="BP7" i="2" l="1"/>
  <c r="BQ6" i="2"/>
  <c r="BR6" i="2" l="1"/>
  <c r="BQ7" i="2"/>
  <c r="BS6" i="2" l="1"/>
  <c r="BR7" i="2"/>
  <c r="BT6" i="2" l="1"/>
  <c r="BS7" i="2"/>
  <c r="BU6" i="2" l="1"/>
  <c r="BT7" i="2"/>
  <c r="BT5" i="2"/>
  <c r="BV6" i="2" l="1"/>
  <c r="BU7" i="2"/>
  <c r="BW6" i="2" l="1"/>
  <c r="BV7" i="2"/>
  <c r="BW7" i="2" l="1"/>
  <c r="BX6" i="2"/>
  <c r="BY6" i="2" l="1"/>
  <c r="BX7" i="2"/>
  <c r="BZ6" i="2" l="1"/>
  <c r="BZ7" i="2" s="1"/>
  <c r="BY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00000000-0006-0000-01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<sst xmlns="http://schemas.openxmlformats.org/spreadsheetml/2006/main" count="392" uniqueCount="217">
  <si>
    <t>IAC Internship Program 2023 - Artificial Intelligence &amp; Machine Learning Project Schedule</t>
  </si>
  <si>
    <t>PROJECT NAME</t>
  </si>
  <si>
    <t>CareerAI – AI-Based Career Prediction &amp; Learning Recommendation System</t>
  </si>
  <si>
    <t>PROJECT START DATE</t>
  </si>
  <si>
    <t>(Enter the date you started working on your project)</t>
  </si>
  <si>
    <t>Display Week Sr No</t>
  </si>
  <si>
    <t>Should you face any difficulty in completing the 'Project Schedule', please refer to 'Project Planning' Workshop https://script.google.com/macros/s/AKfycbz1vCRZzDZf9SkwX8gv1DzKe59fupHWWehSUu0jeTsiZZxn3YdNVAD1sHDLDUanbJ5O/exec</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</si>
  <si>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</si>
  <si>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</si>
  <si>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</si>
  <si>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</si>
  <si>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</si>
  <si>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</si>
  <si>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</si>
  <si>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</si>
  <si>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</si>
  <si>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</si>
  <si>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</si>
  <si>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</si>
  <si>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</si>
  <si>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</si>
  <si>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1 Initiation</t>
  </si>
  <si>
    <t>COMPLETED</t>
  </si>
  <si>
    <t>Completed</t>
  </si>
  <si>
    <t xml:space="preserve">   1.1 Identify business problem</t>
  </si>
  <si>
    <t>Manvith Mogaveera</t>
  </si>
  <si>
    <t xml:space="preserve">   1.2 Define project objective and scope</t>
  </si>
  <si>
    <t>1.1</t>
  </si>
  <si>
    <t xml:space="preserve">   1.3 Create project charter</t>
  </si>
  <si>
    <t>1.2</t>
  </si>
  <si>
    <t xml:space="preserve">   1.4 Requirement elicitation</t>
  </si>
  <si>
    <t xml:space="preserve">   1.5 Prepare Software Requirements Specification</t>
  </si>
  <si>
    <t>1.3, 1.4</t>
  </si>
  <si>
    <t>2 Planning</t>
  </si>
  <si>
    <t xml:space="preserve">   2.1 Create Work Breakdown Structure</t>
  </si>
  <si>
    <t>1.5</t>
  </si>
  <si>
    <t xml:space="preserve">   2.2 Baseline project plan and schedule</t>
  </si>
  <si>
    <t>2.1</t>
  </si>
  <si>
    <t xml:space="preserve">   2.3 Identify project risks and dependencies</t>
  </si>
  <si>
    <t xml:space="preserve">   2.4 Inspect teacher-provided PS2_Dataset.csv</t>
  </si>
  <si>
    <t xml:space="preserve">   2.5 Finalize ML, UI and recommendation technology stack</t>
  </si>
  <si>
    <t>2.4</t>
  </si>
  <si>
    <t>3 Development</t>
  </si>
  <si>
    <t xml:space="preserve">   3.1 Load and validate dataset</t>
  </si>
  <si>
    <t xml:space="preserve">   3.2 Data cleaning and preprocessing</t>
  </si>
  <si>
    <t>3.1</t>
  </si>
  <si>
    <t xml:space="preserve">   3.3 Exploratory data analysis</t>
  </si>
  <si>
    <t>3.2</t>
  </si>
  <si>
    <t xml:space="preserve">   3.4 Prepare encoded features and stratified split</t>
  </si>
  <si>
    <t>3.2, 3.3</t>
  </si>
  <si>
    <t xml:space="preserve">   3.5 Train Decision Tree and Random Forest</t>
  </si>
  <si>
    <t>3.4</t>
  </si>
  <si>
    <t xml:space="preserve">   3.6 Train Extra Trees</t>
  </si>
  <si>
    <t xml:space="preserve">   3.7 Train XGBoost and LightGBM</t>
  </si>
  <si>
    <t xml:space="preserve">   3.8 Train CatBoost</t>
  </si>
  <si>
    <t xml:space="preserve">   3.9 Evaluate accuracy, precision, recall and F1</t>
  </si>
  <si>
    <t>3.5-3.8</t>
  </si>
  <si>
    <t xml:space="preserve">   3.10 Confusion matrix and model comparison</t>
  </si>
  <si>
    <t>3.9</t>
  </si>
  <si>
    <t xml:space="preserve">   3.11 Feature importance and model limitation analysis</t>
  </si>
  <si>
    <t>3.10</t>
  </si>
  <si>
    <t xml:space="preserve">   3.12 Select best-performing model</t>
  </si>
  <si>
    <t>3.11</t>
  </si>
  <si>
    <t xml:space="preserve">   3.13 Design CareerAI Streamlit dashboard</t>
  </si>
  <si>
    <t>2.5</t>
  </si>
  <si>
    <t xml:space="preserve">   3.14 Build user profile prediction form</t>
  </si>
  <si>
    <t>3.13</t>
  </si>
  <si>
    <t xml:space="preserve">   3.15 Build prediction result and career display</t>
  </si>
  <si>
    <t>3.12, 3.14</t>
  </si>
  <si>
    <t xml:space="preserve">   3.16 Build EDA and model comparison dashboard</t>
  </si>
  <si>
    <t>3.10, 3.13</t>
  </si>
  <si>
    <t xml:space="preserve">   3.17 Map career roles to required skills</t>
  </si>
  <si>
    <t>3.12</t>
  </si>
  <si>
    <t xml:space="preserve">   3.18 Create career-specific course roadmaps</t>
  </si>
  <si>
    <t>3.17</t>
  </si>
  <si>
    <t xml:space="preserve">   3.19 Integrate course recommendation module</t>
  </si>
  <si>
    <t>3.15, 3.18</t>
  </si>
  <si>
    <t>4 Testing</t>
  </si>
  <si>
    <t xml:space="preserve">   4.1 Test dataset loading and preprocessing</t>
  </si>
  <si>
    <t>3.19</t>
  </si>
  <si>
    <t xml:space="preserve">   4.2 Test user input validation</t>
  </si>
  <si>
    <t>3.14</t>
  </si>
  <si>
    <t xml:space="preserve">   4.3 Test prediction workflow</t>
  </si>
  <si>
    <t>4.1, 4.2</t>
  </si>
  <si>
    <t xml:space="preserve">   4.4 Test course recommendation workflow</t>
  </si>
  <si>
    <t>4.3</t>
  </si>
  <si>
    <t xml:space="preserve">   4.5 Validate model metrics and outputs</t>
  </si>
  <si>
    <t xml:space="preserve">   4.6 Test UI navigation and responsiveness</t>
  </si>
  <si>
    <t xml:space="preserve">   4.7 Fix defects and refine interface</t>
  </si>
  <si>
    <t>4.5, 4.6</t>
  </si>
  <si>
    <t xml:space="preserve">   4.8 Prepare test report</t>
  </si>
  <si>
    <t>4.7</t>
  </si>
  <si>
    <t>5 Deployment</t>
  </si>
  <si>
    <t xml:space="preserve">   5.1 Prepare requirements.txt and project structure</t>
  </si>
  <si>
    <t>4.8</t>
  </si>
  <si>
    <t xml:space="preserve">   5.2 Configure Streamlit application</t>
  </si>
  <si>
    <t>5.1</t>
  </si>
  <si>
    <t xml:space="preserve">   5.3 Run final deployment/demo build</t>
  </si>
  <si>
    <t>5.2</t>
  </si>
  <si>
    <t>6 Documentation</t>
  </si>
  <si>
    <t xml:space="preserve">   6.1 Maintain weekly project documentation</t>
  </si>
  <si>
    <t xml:space="preserve">   6.2 Prepare README and user guide</t>
  </si>
  <si>
    <t>5.3</t>
  </si>
  <si>
    <t xml:space="preserve">   6.3 Prepare final technical report</t>
  </si>
  <si>
    <t>7 Closure</t>
  </si>
  <si>
    <t xml:space="preserve">   7.1 Final project review and corrections</t>
  </si>
  <si>
    <t>6.2, 6.3</t>
  </si>
  <si>
    <t xml:space="preserve">   7.2 Prepare final presentation/demo</t>
  </si>
  <si>
    <t>7.1</t>
  </si>
  <si>
    <t xml:space="preserve">   7.3 Final handover and project closure</t>
  </si>
  <si>
    <t>7.2</t>
  </si>
  <si>
    <t>IAC GLOBAL PROFESSIONAL INTERNSHIP</t>
  </si>
  <si>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</si>
  <si>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</si>
  <si>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</si>
  <si>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</si>
  <si>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</si>
  <si>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</si>
  <si>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</si>
  <si>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</si>
  <si>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</si>
  <si>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</si>
  <si>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</si>
  <si>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</si>
  <si>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Should you face any difficulty in completing the 'Project Schedule', please refer to 'Project Planning' Workshop</t>
  </si>
  <si>
    <t>PROJECT PLAN</t>
  </si>
  <si>
    <t>DOCUMENT VERSION: 1.0</t>
  </si>
  <si>
    <t xml:space="preserve">INSTRUCTION TO USE THE PROJECT PLAN TEMPLATE: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</si>
  <si>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</si>
  <si>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</si>
  <si>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</si>
  <si>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</si>
  <si>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</si>
  <si>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</si>
  <si>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</si>
  <si>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</si>
  <si>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</si>
  <si>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</si>
  <si>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</si>
  <si>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</si>
  <si>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</si>
  <si>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</si>
  <si>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</si>
  <si>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</si>
  <si>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</si>
  <si>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 xml:space="preserve">   1.2 Recruit a team</t>
  </si>
  <si>
    <t xml:space="preserve">   1.3 Create a project charter</t>
  </si>
  <si>
    <t xml:space="preserve">   1.4 Requirement gathering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</si>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</sst>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
    <numFmt numFmtId="166" formatCode="0.0"/>
    <numFmt numFmtId="168" formatCode="dd\-mmm\-yyyy"/>
  </numFmts>
  <fonts count="27"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8" fillId="0" borderId="0"/>
    <xf numFmtId="0" fontId="9" fillId="0" borderId="0"/>
    <xf numFmtId="0" fontId="26" fillId="0" borderId="0"/>
  </cellStyleXfs>
  <cellXfs count="126">
    <xf numFmtId="0" fontId="0" fillId="0" borderId="0" xfId="0"/>
    <xf numFmtId="0" fontId="8" fillId="0" borderId="0" xfId="1" applyAlignment="1">
      <alignment wrapText="1"/>
    </xf>
    <xf numFmtId="164" fontId="8" fillId="0" borderId="0" xfId="1" applyNumberFormat="1"/>
    <xf numFmtId="164"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5" fontId="1" fillId="2" borderId="4" xfId="1" applyNumberFormat="1" applyFont="1" applyFill="1" applyBorder="1" applyAlignment="1">
      <alignment horizontal="left" vertical="center" shrinkToFit="1"/>
    </xf>
    <xf numFmtId="165" fontId="1" fillId="2" borderId="5" xfId="1" applyNumberFormat="1" applyFont="1" applyFill="1" applyBorder="1" applyAlignment="1">
      <alignment horizontal="left" vertical="center" shrinkToFit="1"/>
    </xf>
    <xf numFmtId="165"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4" fontId="2" fillId="0" borderId="0" xfId="1" applyNumberFormat="1" applyFont="1"/>
    <xf numFmtId="164"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4" fontId="4" fillId="0" borderId="0" xfId="1" applyNumberFormat="1" applyFont="1"/>
    <xf numFmtId="1" fontId="4" fillId="0" borderId="0" xfId="1" applyNumberFormat="1" applyFont="1" applyAlignment="1">
      <alignment horizontal="center" vertical="center"/>
    </xf>
    <xf numFmtId="164" fontId="2" fillId="0" borderId="0" xfId="1" applyNumberFormat="1" applyFont="1" applyAlignment="1">
      <alignment horizontal="center" vertical="center"/>
    </xf>
    <xf numFmtId="164" fontId="2" fillId="0" borderId="0" xfId="1" applyNumberFormat="1" applyFont="1" applyAlignment="1">
      <alignment horizontal="center" vertical="center" wrapText="1"/>
    </xf>
    <xf numFmtId="0" fontId="15" fillId="0" borderId="0" xfId="0" applyFont="1"/>
    <xf numFmtId="0" fontId="17" fillId="0" borderId="0" xfId="0" applyFont="1"/>
    <xf numFmtId="166"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4" fontId="2" fillId="5" borderId="0" xfId="1" applyNumberFormat="1" applyFont="1" applyFill="1" applyAlignment="1">
      <alignment vertical="center"/>
    </xf>
    <xf numFmtId="164" fontId="2" fillId="5" borderId="0" xfId="1" applyNumberFormat="1" applyFont="1" applyFill="1" applyAlignment="1">
      <alignment vertical="center" wrapText="1"/>
    </xf>
    <xf numFmtId="1" fontId="2" fillId="5" borderId="0" xfId="1" applyNumberFormat="1" applyFont="1" applyFill="1" applyAlignment="1">
      <alignment vertical="center" wrapText="1"/>
    </xf>
    <xf numFmtId="164"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4"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0" fontId="18" fillId="0" borderId="0" xfId="1" applyFont="1" applyAlignment="1">
      <alignment wrapText="1"/>
    </xf>
    <xf numFmtId="164" fontId="18" fillId="0" borderId="0" xfId="1" applyNumberFormat="1" applyFont="1"/>
    <xf numFmtId="164"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6" xfId="0" applyFont="1" applyFill="1" applyBorder="1"/>
    <xf numFmtId="0" fontId="0" fillId="9" borderId="17" xfId="0" applyFill="1" applyBorder="1"/>
    <xf numFmtId="14" fontId="0" fillId="9" borderId="17"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168" fontId="19" fillId="4" borderId="0" xfId="1" applyNumberFormat="1" applyFont="1" applyFill="1" applyAlignment="1">
      <alignment horizontal="center" vertical="center" wrapText="1"/>
    </xf>
    <xf numFmtId="0" fontId="11" fillId="6" borderId="0" xfId="0" applyFont="1" applyFill="1" applyAlignment="1">
      <alignment vertical="top" wrapText="1"/>
    </xf>
    <xf numFmtId="0" fontId="11" fillId="6" borderId="7" xfId="0" applyFont="1" applyFill="1" applyBorder="1" applyAlignment="1">
      <alignment vertical="top" wrapText="1"/>
    </xf>
    <xf numFmtId="164" fontId="4" fillId="7" borderId="0" xfId="1" applyNumberFormat="1" applyFont="1" applyFill="1" applyAlignment="1">
      <alignment vertical="top" wrapText="1"/>
    </xf>
    <xf numFmtId="1" fontId="4" fillId="7" borderId="0" xfId="1" applyNumberFormat="1" applyFont="1" applyFill="1" applyAlignment="1">
      <alignment vertical="top" wrapText="1"/>
    </xf>
    <xf numFmtId="0" fontId="12" fillId="0" borderId="8" xfId="0" applyFont="1" applyBorder="1" applyAlignment="1">
      <alignment vertical="top" wrapText="1"/>
    </xf>
    <xf numFmtId="0" fontId="12" fillId="0" borderId="7" xfId="0" applyFont="1" applyBorder="1" applyAlignment="1">
      <alignment vertical="top" wrapText="1"/>
    </xf>
    <xf numFmtId="168" fontId="12" fillId="0" borderId="7" xfId="0" applyNumberFormat="1" applyFont="1" applyBorder="1" applyAlignment="1">
      <alignment vertical="top" wrapText="1"/>
    </xf>
    <xf numFmtId="0" fontId="11" fillId="0" borderId="7" xfId="0" applyFont="1" applyBorder="1" applyAlignment="1">
      <alignment vertical="top" wrapText="1"/>
    </xf>
    <xf numFmtId="15" fontId="12" fillId="0" borderId="7" xfId="0" applyNumberFormat="1" applyFont="1" applyBorder="1" applyAlignment="1">
      <alignment vertical="top" wrapText="1"/>
    </xf>
    <xf numFmtId="168" fontId="12" fillId="0" borderId="0" xfId="0" applyNumberFormat="1" applyFont="1" applyAlignment="1">
      <alignment vertical="top" wrapText="1"/>
    </xf>
    <xf numFmtId="0" fontId="12" fillId="0" borderId="0" xfId="0" applyFont="1" applyAlignment="1">
      <alignment vertical="top" wrapText="1"/>
    </xf>
    <xf numFmtId="164" fontId="2" fillId="0" borderId="0" xfId="1" applyNumberFormat="1" applyFont="1" applyAlignment="1">
      <alignment vertical="top" wrapText="1"/>
    </xf>
    <xf numFmtId="1" fontId="2" fillId="0" borderId="0" xfId="1" applyNumberFormat="1" applyFont="1" applyAlignment="1">
      <alignment vertical="top" wrapText="1"/>
    </xf>
    <xf numFmtId="0" fontId="13" fillId="0" borderId="7" xfId="0" applyFont="1" applyBorder="1" applyAlignment="1">
      <alignment vertical="top" wrapText="1"/>
    </xf>
    <xf numFmtId="168" fontId="2" fillId="0" borderId="0" xfId="0" applyNumberFormat="1" applyFont="1" applyAlignment="1">
      <alignment vertical="top" wrapText="1"/>
    </xf>
    <xf numFmtId="1" fontId="2" fillId="0" borderId="0" xfId="0" applyNumberFormat="1" applyFont="1" applyAlignment="1">
      <alignment vertical="top" wrapText="1"/>
    </xf>
    <xf numFmtId="0" fontId="0" fillId="0" borderId="0" xfId="0" applyAlignment="1">
      <alignment vertical="top" wrapText="1"/>
    </xf>
    <xf numFmtId="164" fontId="2" fillId="0" borderId="0" xfId="0" applyNumberFormat="1" applyFont="1" applyAlignment="1">
      <alignment vertical="top" wrapText="1"/>
    </xf>
    <xf numFmtId="168" fontId="11" fillId="6" borderId="0" xfId="0" applyNumberFormat="1" applyFont="1" applyFill="1" applyAlignment="1">
      <alignment vertical="top" wrapText="1"/>
    </xf>
    <xf numFmtId="0" fontId="7" fillId="0" borderId="0" xfId="1" applyFont="1" applyAlignment="1">
      <alignment vertical="top" wrapText="1"/>
    </xf>
    <xf numFmtId="0" fontId="6" fillId="0" borderId="0" xfId="1" applyFont="1" applyAlignment="1">
      <alignment vertical="top" wrapText="1"/>
    </xf>
    <xf numFmtId="168" fontId="2" fillId="0" borderId="0" xfId="1" applyNumberFormat="1" applyFont="1" applyAlignment="1">
      <alignment vertical="top" wrapText="1"/>
    </xf>
    <xf numFmtId="168" fontId="7" fillId="0" borderId="0" xfId="1" applyNumberFormat="1" applyFont="1" applyAlignment="1">
      <alignment vertical="top" wrapText="1"/>
    </xf>
    <xf numFmtId="0" fontId="6" fillId="7" borderId="0" xfId="1" applyFont="1" applyFill="1" applyAlignment="1">
      <alignment vertical="top" wrapText="1"/>
    </xf>
    <xf numFmtId="168" fontId="4" fillId="7" borderId="0" xfId="1" applyNumberFormat="1" applyFont="1" applyFill="1" applyAlignment="1">
      <alignment vertical="top" wrapText="1"/>
    </xf>
    <xf numFmtId="0" fontId="10" fillId="0" borderId="0" xfId="1" applyFont="1" applyAlignment="1">
      <alignment vertical="top" wrapText="1"/>
    </xf>
    <xf numFmtId="15" fontId="18" fillId="2" borderId="1" xfId="1" applyNumberFormat="1" applyFont="1" applyFill="1" applyBorder="1" applyAlignment="1">
      <alignment horizontal="left"/>
    </xf>
    <xf numFmtId="0" fontId="0" fillId="0" borderId="2" xfId="0" applyBorder="1"/>
    <xf numFmtId="0" fontId="0" fillId="10" borderId="18" xfId="0" applyFill="1" applyBorder="1" applyAlignment="1">
      <alignment horizontal="left" vertical="top" wrapText="1"/>
    </xf>
    <xf numFmtId="0" fontId="0" fillId="0" borderId="9" xfId="0" applyBorder="1"/>
    <xf numFmtId="0" fontId="0" fillId="0" borderId="10" xfId="0" applyBorder="1"/>
    <xf numFmtId="0" fontId="0" fillId="0" borderId="11" xfId="0" applyBorder="1"/>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0" fontId="0" fillId="10" borderId="18" xfId="0" applyFill="1" applyBorder="1" applyAlignment="1">
      <alignment horizontal="center" wrapText="1"/>
    </xf>
    <xf numFmtId="0" fontId="16" fillId="8" borderId="0" xfId="0" applyFont="1" applyFill="1" applyAlignment="1">
      <alignment horizontal="right" vertical="center"/>
    </xf>
    <xf numFmtId="0" fontId="21" fillId="7" borderId="0" xfId="0" applyFont="1" applyFill="1" applyAlignment="1">
      <alignment horizontal="center" vertical="center"/>
    </xf>
  </cellXfs>
  <cellStyles count="4">
    <cellStyle name="Hyperlink" xfId="3" builtinId="8"/>
    <cellStyle name="Hyperlink 2" xfId="2" xr:uid="{00000000-0005-0000-0000-000002000000}"/>
    <cellStyle name="Normal" xfId="0" builtinId="0"/>
    <cellStyle name="Normal 2" xfId="1" xr:uid="{00000000-0005-0000-0000-000001000000}"/>
  </cellStyles>
  <dxfs count="33">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left style="thin">
          <color indexed="64"/>
        </left>
        <right style="thin">
          <color indexed="64"/>
        </right>
        <top/>
        <bottom/>
        <vertical style="thin">
          <color indexed="64"/>
        </vertical>
        <horizontal style="thin">
          <color indexed="64"/>
        </horizontal>
      </border>
    </dxf>
    <dxf>
      <font>
        <strike val="0"/>
        <outline val="0"/>
        <shadow val="0"/>
        <vertAlign val="baseline"/>
        <sz val="11"/>
        <color theme="0"/>
        <name val="Calibri"/>
        <family val="2"/>
        <scheme val="minor"/>
      </font>
      <fill>
        <patternFill patternType="solid">
          <fgColor indexed="64"/>
          <bgColor rgb="FF273755"/>
        </patternFill>
      </fill>
    </dxf>
    <dxf>
      <font>
        <name val="Calibri"/>
      </font>
      <alignment wrapText="1"/>
    </dxf>
    <dxf>
      <font>
        <strike val="0"/>
        <condense val="0"/>
        <extend val="0"/>
        <outline val="0"/>
        <shadow val="0"/>
        <vertAlign val="baseline"/>
        <sz val="11"/>
        <color theme="1"/>
        <name val="Arial"/>
      </font>
      <numFmt numFmtId="1" formatCode="0"/>
      <alignment horizontal="center" vertical="center"/>
    </dxf>
    <dxf>
      <font>
        <strike val="0"/>
        <condense val="0"/>
        <extend val="0"/>
        <outline val="0"/>
        <shadow val="0"/>
        <vertAlign val="baseline"/>
        <sz val="11"/>
        <color theme="1"/>
        <name val="Calibri"/>
      </font>
      <numFmt numFmtId="1" formatCode="0"/>
      <alignment horizontal="general" vertical="bottom" wrapText="1"/>
    </dxf>
    <dxf>
      <font>
        <strike val="0"/>
        <condense val="0"/>
        <extend val="0"/>
        <outline val="0"/>
        <shadow val="0"/>
        <vertAlign val="baseline"/>
        <sz val="11"/>
        <color theme="1"/>
        <name val="Calibri"/>
      </font>
      <numFmt numFmtId="164" formatCode="[$-409]d\-mmm\-yy;@"/>
      <alignment horizontal="general" vertical="bottom" wrapText="1"/>
    </dxf>
    <dxf>
      <font>
        <strike val="0"/>
        <condense val="0"/>
        <extend val="0"/>
        <outline val="0"/>
        <shadow val="0"/>
        <vertAlign val="baseline"/>
        <sz val="11"/>
        <color theme="1"/>
        <name val="Calibri"/>
      </font>
      <numFmt numFmtId="164" formatCode="[$-409]d\-mmm\-yy;@"/>
      <alignment horizontal="general" vertical="bottom"/>
    </dxf>
    <dxf>
      <font>
        <strike val="0"/>
        <condense val="0"/>
        <extend val="0"/>
        <outline val="0"/>
        <shadow val="0"/>
        <vertAlign val="baseline"/>
        <sz val="11"/>
        <color theme="1"/>
        <name val="Calibri"/>
      </font>
      <numFmt numFmtId="164" formatCode="[$-409]d\-mmm\-yy;@"/>
      <alignment horizontal="general" vertical="bottom"/>
    </dxf>
    <dxf>
      <font>
        <strike val="0"/>
        <condense val="0"/>
        <extend val="0"/>
        <outline val="0"/>
        <shadow val="0"/>
        <vertAlign val="baseline"/>
        <sz val="11"/>
        <color theme="1"/>
        <name val="Calibri"/>
      </font>
      <alignment horizontal="general" vertical="bottom" wrapText="1"/>
    </dxf>
    <dxf>
      <font>
        <strike val="0"/>
        <condense val="0"/>
        <extend val="0"/>
        <outline val="0"/>
        <shadow val="0"/>
        <vertAlign val="baseline"/>
        <sz val="11"/>
        <color theme="1"/>
        <name val="Calibri"/>
      </font>
      <alignment horizontal="general" vertical="bottom" wrapText="1"/>
    </dxf>
    <dxf>
      <font>
        <strike val="0"/>
        <condense val="0"/>
        <extend val="0"/>
        <outline val="0"/>
        <shadow val="0"/>
        <vertAlign val="baseline"/>
        <sz val="11"/>
        <color theme="1"/>
        <name val="Calibri"/>
      </font>
      <alignment horizontal="general" vertical="bottom" wrapText="1"/>
    </dxf>
    <dxf>
      <font>
        <strike val="0"/>
        <condense val="0"/>
        <extend val="0"/>
        <outline val="0"/>
        <shadow val="0"/>
        <vertAlign val="baseline"/>
        <sz val="11"/>
        <color theme="1"/>
        <name val="Calibri"/>
      </font>
      <alignment horizontal="general" vertical="bottom" wrapText="1"/>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7:N131" totalsRowShown="0" headerRowDxfId="32" dataDxfId="31">
  <autoFilter ref="A7:N131" xr:uid="{00000000-0009-0000-0100-000001000000}"/>
  <tableColumns count="14">
    <tableColumn id="1" xr3:uid="{00000000-0010-0000-0000-000001000000}" name="Sr No" dataDxfId="30"/>
    <tableColumn id="2" xr3:uid="{00000000-0010-0000-0000-000002000000}" name="Week/ Duration/ Sprint/ Phase" dataDxfId="29"/>
    <tableColumn id="5" xr3:uid="{00000000-0010-0000-0000-000005000000}" name="Activities" dataDxfId="28"/>
    <tableColumn id="7" xr3:uid="{00000000-0010-0000-0000-000007000000}" name="Task" dataDxfId="27"/>
    <tableColumn id="8" xr3:uid="{00000000-0010-0000-0000-000008000000}" name="Sub Task" dataDxfId="26"/>
    <tableColumn id="14" xr3:uid="{00000000-0010-0000-0000-00000E000000}" name="Dependencies" dataDxfId="25" dataCellStyle="Normal 2"/>
    <tableColumn id="3" xr3:uid="{00000000-0010-0000-0000-000003000000}" name="Assigned to" dataDxfId="24"/>
    <tableColumn id="9" xr3:uid="{00000000-0010-0000-0000-000009000000}" name="Start Date" dataDxfId="23"/>
    <tableColumn id="10" xr3:uid="{00000000-0010-0000-0000-00000A000000}" name="End Date" dataDxfId="22"/>
    <tableColumn id="13" xr3:uid="{00000000-0010-0000-0000-00000D000000}" name="Actual End Date" dataDxfId="21"/>
    <tableColumn id="11" xr3:uid="{00000000-0010-0000-0000-00000B000000}" name="Hours required" dataDxfId="20"/>
    <tableColumn id="4" xr3:uid="{00000000-0010-0000-0000-000004000000}" name="Status"/>
    <tableColumn id="12" xr3:uid="{00000000-0010-0000-0000-00000C000000}" name="Progress" dataDxfId="19"/>
    <tableColumn id="6" xr3:uid="{00000000-0010-0000-0000-000006000000}"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15" displayName="Table215" ref="A13:G79" totalsRowShown="0" headerRowDxfId="17">
  <autoFilter ref="A13:G79"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SL NO"/>
    <tableColumn id="2" xr3:uid="{00000000-0010-0000-0100-000002000000}" name="TASK NAME"/>
    <tableColumn id="3" xr3:uid="{00000000-0010-0000-0100-000003000000}" name="ASSIGNED TO"/>
    <tableColumn id="4" xr3:uid="{00000000-0010-0000-0100-000004000000}" name="START DATE"/>
    <tableColumn id="5" xr3:uid="{00000000-0010-0000-0100-000005000000}" name="END DATE"/>
    <tableColumn id="6" xr3:uid="{00000000-0010-0000-0100-000006000000}" name="DURATION IN DAYS"/>
    <tableColumn id="7" xr3:uid="{00000000-0010-0000-0100-000007000000}"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4" displayName="Table114" ref="A4:B10" headerRowCount="0" totalsRowShown="0" headerRowDxfId="16" dataDxfId="15" tableBorderDxfId="14" totalsRowBorderDxfId="13">
  <tableColumns count="2">
    <tableColumn id="1" xr3:uid="{00000000-0010-0000-0200-000001000000}" name="Column1" dataDxfId="12"/>
    <tableColumn id="2" xr3:uid="{00000000-0010-0000-0200-000002000000}"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script.google.com/macros/s/AKfycbz1vCRZzDZf9SkwX8gv1DzKe59fupHWWehSUu0jeTsiZZxn3YdNVAD1sHDLDUanbJ5O/exec"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31"/>
  <sheetViews>
    <sheetView workbookViewId="0">
      <selection activeCell="P6" sqref="P6"/>
    </sheetView>
  </sheetViews>
  <sheetFormatPr defaultColWidth="11.44140625" defaultRowHeight="14.4" x14ac:dyDescent="0.3"/>
  <cols>
    <col min="1" max="1" width="21.44140625" customWidth="1"/>
  </cols>
  <sheetData>
    <row r="2" spans="1:15" ht="18.75" customHeight="1" x14ac:dyDescent="0.35">
      <c r="A2" s="32" t="s">
        <v>111</v>
      </c>
    </row>
    <row r="4" spans="1:15" x14ac:dyDescent="0.3">
      <c r="A4" t="s">
        <v>112</v>
      </c>
      <c r="B4" s="31" t="s">
        <v>113</v>
      </c>
    </row>
    <row r="5" spans="1:15" x14ac:dyDescent="0.3">
      <c r="A5" t="s">
        <v>114</v>
      </c>
      <c r="B5" s="31" t="s">
        <v>115</v>
      </c>
    </row>
    <row r="6" spans="1:15" x14ac:dyDescent="0.3">
      <c r="A6" t="s">
        <v>116</v>
      </c>
      <c r="B6" t="s">
        <v>117</v>
      </c>
    </row>
    <row r="7" spans="1:15" x14ac:dyDescent="0.3">
      <c r="A7" t="s">
        <v>118</v>
      </c>
      <c r="B7" s="33">
        <v>1</v>
      </c>
    </row>
    <row r="10" spans="1:15" x14ac:dyDescent="0.3">
      <c r="A10" s="79" t="s">
        <v>119</v>
      </c>
    </row>
    <row r="11" spans="1:15" x14ac:dyDescent="0.3">
      <c r="A11" s="78" t="s">
        <v>120</v>
      </c>
    </row>
    <row r="12" spans="1:15" x14ac:dyDescent="0.3">
      <c r="A12" s="78" t="s">
        <v>121</v>
      </c>
    </row>
    <row r="13" spans="1:15" x14ac:dyDescent="0.3">
      <c r="A13" s="78" t="s">
        <v>122</v>
      </c>
    </row>
    <row r="14" spans="1:15" x14ac:dyDescent="0.3">
      <c r="A14" s="81" t="s">
        <v>123</v>
      </c>
      <c r="B14" s="80"/>
      <c r="C14" s="80"/>
      <c r="D14" s="80"/>
      <c r="E14" s="80"/>
      <c r="F14" s="80"/>
      <c r="G14" s="80"/>
    </row>
    <row r="16" spans="1:15" x14ac:dyDescent="0.3">
      <c r="A16" s="83" t="s">
        <v>124</v>
      </c>
      <c r="B16" s="80"/>
      <c r="C16" s="80"/>
      <c r="D16" s="80"/>
      <c r="E16" s="80"/>
      <c r="F16" s="80"/>
      <c r="G16" s="80"/>
      <c r="H16" s="80"/>
      <c r="I16" s="80"/>
      <c r="J16" s="80"/>
      <c r="K16" s="80"/>
      <c r="L16" s="80"/>
      <c r="M16" s="80"/>
      <c r="N16" s="80"/>
      <c r="O16" s="80"/>
    </row>
    <row r="31" spans="5:5" x14ac:dyDescent="0.3">
      <c r="E31" s="31"/>
    </row>
  </sheetData>
  <hyperlinks>
    <hyperlink ref="A16" r:id="rId1" display="Should you face any difficulty in completing the 'Project Schedule', please refer to 'Project Planning' Workshop, https://cloudcounselage.graphy.com/sessions/Project-Planning-64af88dcb308530823e2c19f"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Z1985"/>
  <sheetViews>
    <sheetView tabSelected="1" zoomScale="80" zoomScaleNormal="80" workbookViewId="0">
      <selection activeCell="M59" sqref="M59"/>
    </sheetView>
  </sheetViews>
  <sheetFormatPr defaultColWidth="8.6640625" defaultRowHeight="13.8" outlineLevelRow="1" x14ac:dyDescent="0.25"/>
  <cols>
    <col min="1" max="1" width="8.6640625" style="7" customWidth="1"/>
    <col min="2" max="2" width="8.6640625" style="6" customWidth="1"/>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79" width="8.6640625" style="6" customWidth="1"/>
    <col min="80" max="16384" width="8.6640625" style="6"/>
  </cols>
  <sheetData>
    <row r="2" spans="1:78" ht="23.25" customHeight="1" x14ac:dyDescent="0.4">
      <c r="C2" s="61" t="s">
        <v>0</v>
      </c>
      <c r="D2" s="62"/>
      <c r="E2" s="62"/>
      <c r="F2" s="62"/>
    </row>
    <row r="3" spans="1:78" ht="14.4" x14ac:dyDescent="0.3">
      <c r="C3" t="s">
        <v>1</v>
      </c>
      <c r="D3" t="s">
        <v>2</v>
      </c>
    </row>
    <row r="4" spans="1:78" s="52" customFormat="1" ht="81" customHeight="1" x14ac:dyDescent="0.4">
      <c r="A4" s="51"/>
      <c r="C4" s="53" t="s">
        <v>3</v>
      </c>
      <c r="D4" s="85">
        <v>46185</v>
      </c>
      <c r="E4" s="54" t="s">
        <v>4</v>
      </c>
      <c r="F4" s="54"/>
      <c r="G4" s="54"/>
      <c r="H4" s="55"/>
      <c r="I4" s="55"/>
      <c r="J4" s="56"/>
      <c r="K4" s="57"/>
      <c r="L4" s="55"/>
      <c r="M4" s="58"/>
      <c r="N4" s="54"/>
    </row>
    <row r="5" spans="1:78" s="52" customFormat="1" ht="40.5" customHeight="1" x14ac:dyDescent="0.4">
      <c r="A5" s="51"/>
      <c r="C5" s="53" t="s">
        <v>5</v>
      </c>
      <c r="D5" s="59">
        <v>1</v>
      </c>
      <c r="E5" s="54"/>
      <c r="F5" s="54"/>
      <c r="G5" s="54"/>
      <c r="H5" s="55"/>
      <c r="I5" s="55"/>
      <c r="J5" s="56"/>
      <c r="K5" s="57"/>
      <c r="L5" s="55"/>
      <c r="M5" s="58"/>
      <c r="N5" s="54"/>
      <c r="P5" s="112">
        <f>P6</f>
        <v>46181</v>
      </c>
      <c r="Q5" s="113"/>
      <c r="R5" s="113"/>
      <c r="S5" s="113"/>
      <c r="T5" s="113"/>
      <c r="U5" s="113"/>
      <c r="V5" s="60"/>
      <c r="W5" s="112">
        <f>W6</f>
        <v>46188</v>
      </c>
      <c r="X5" s="113"/>
      <c r="Y5" s="113"/>
      <c r="Z5" s="113"/>
      <c r="AA5" s="113"/>
      <c r="AB5" s="113"/>
      <c r="AC5" s="60"/>
      <c r="AD5" s="112">
        <f>AD6</f>
        <v>46195</v>
      </c>
      <c r="AE5" s="113"/>
      <c r="AF5" s="113"/>
      <c r="AG5" s="113"/>
      <c r="AH5" s="113"/>
      <c r="AI5" s="113"/>
      <c r="AJ5" s="60"/>
      <c r="AK5" s="112">
        <f>AK6</f>
        <v>46202</v>
      </c>
      <c r="AL5" s="113"/>
      <c r="AM5" s="113"/>
      <c r="AN5" s="113"/>
      <c r="AO5" s="113"/>
      <c r="AP5" s="113"/>
      <c r="AQ5" s="60"/>
      <c r="AR5" s="112">
        <f>AR6</f>
        <v>46209</v>
      </c>
      <c r="AS5" s="113"/>
      <c r="AT5" s="113"/>
      <c r="AU5" s="113"/>
      <c r="AV5" s="113"/>
      <c r="AW5" s="113"/>
      <c r="AX5" s="60"/>
      <c r="AY5" s="112">
        <f>AY6</f>
        <v>46216</v>
      </c>
      <c r="AZ5" s="113"/>
      <c r="BA5" s="113"/>
      <c r="BB5" s="113"/>
      <c r="BC5" s="113"/>
      <c r="BD5" s="113"/>
      <c r="BE5" s="60"/>
      <c r="BF5" s="112">
        <f>BF6</f>
        <v>46223</v>
      </c>
      <c r="BG5" s="113"/>
      <c r="BH5" s="113"/>
      <c r="BI5" s="113"/>
      <c r="BJ5" s="113"/>
      <c r="BK5" s="113"/>
      <c r="BL5" s="60"/>
      <c r="BM5" s="112">
        <f>BM6</f>
        <v>46230</v>
      </c>
      <c r="BN5" s="113"/>
      <c r="BO5" s="113"/>
      <c r="BP5" s="113"/>
      <c r="BQ5" s="113"/>
      <c r="BR5" s="113"/>
      <c r="BS5" s="60"/>
      <c r="BT5" s="112">
        <f>BT6</f>
        <v>46237</v>
      </c>
      <c r="BU5" s="113"/>
      <c r="BV5" s="113"/>
      <c r="BW5" s="113"/>
      <c r="BX5" s="113"/>
      <c r="BY5" s="113"/>
      <c r="BZ5" s="60"/>
    </row>
    <row r="6" spans="1:78" ht="15" customHeight="1" x14ac:dyDescent="0.3">
      <c r="C6" s="84" t="s">
        <v>6</v>
      </c>
      <c r="P6" s="8">
        <f>$D$4-WEEKDAY(project_start,3)+(display_week-1)*7</f>
        <v>46181</v>
      </c>
      <c r="Q6" s="9">
        <f t="shared" ref="Q6:AV6" si="0">P6+1</f>
        <v>46182</v>
      </c>
      <c r="R6" s="9">
        <f t="shared" si="0"/>
        <v>46183</v>
      </c>
      <c r="S6" s="9">
        <f t="shared" si="0"/>
        <v>46184</v>
      </c>
      <c r="T6" s="9">
        <f t="shared" si="0"/>
        <v>46185</v>
      </c>
      <c r="U6" s="9">
        <f t="shared" si="0"/>
        <v>46186</v>
      </c>
      <c r="V6" s="10">
        <f t="shared" si="0"/>
        <v>46187</v>
      </c>
      <c r="W6" s="8">
        <f t="shared" si="0"/>
        <v>46188</v>
      </c>
      <c r="X6" s="9">
        <f t="shared" si="0"/>
        <v>46189</v>
      </c>
      <c r="Y6" s="9">
        <f t="shared" si="0"/>
        <v>46190</v>
      </c>
      <c r="Z6" s="9">
        <f t="shared" si="0"/>
        <v>46191</v>
      </c>
      <c r="AA6" s="9">
        <f t="shared" si="0"/>
        <v>46192</v>
      </c>
      <c r="AB6" s="9">
        <f t="shared" si="0"/>
        <v>46193</v>
      </c>
      <c r="AC6" s="10">
        <f t="shared" si="0"/>
        <v>46194</v>
      </c>
      <c r="AD6" s="8">
        <f t="shared" si="0"/>
        <v>46195</v>
      </c>
      <c r="AE6" s="9">
        <f t="shared" si="0"/>
        <v>46196</v>
      </c>
      <c r="AF6" s="9">
        <f t="shared" si="0"/>
        <v>46197</v>
      </c>
      <c r="AG6" s="9">
        <f t="shared" si="0"/>
        <v>46198</v>
      </c>
      <c r="AH6" s="9">
        <f t="shared" si="0"/>
        <v>46199</v>
      </c>
      <c r="AI6" s="9">
        <f t="shared" si="0"/>
        <v>46200</v>
      </c>
      <c r="AJ6" s="10">
        <f t="shared" si="0"/>
        <v>46201</v>
      </c>
      <c r="AK6" s="8">
        <f t="shared" si="0"/>
        <v>46202</v>
      </c>
      <c r="AL6" s="9">
        <f t="shared" si="0"/>
        <v>46203</v>
      </c>
      <c r="AM6" s="9">
        <f t="shared" si="0"/>
        <v>46204</v>
      </c>
      <c r="AN6" s="9">
        <f t="shared" si="0"/>
        <v>46205</v>
      </c>
      <c r="AO6" s="9">
        <f t="shared" si="0"/>
        <v>46206</v>
      </c>
      <c r="AP6" s="9">
        <f t="shared" si="0"/>
        <v>46207</v>
      </c>
      <c r="AQ6" s="10">
        <f t="shared" si="0"/>
        <v>46208</v>
      </c>
      <c r="AR6" s="8">
        <f t="shared" si="0"/>
        <v>46209</v>
      </c>
      <c r="AS6" s="9">
        <f t="shared" si="0"/>
        <v>46210</v>
      </c>
      <c r="AT6" s="9">
        <f t="shared" si="0"/>
        <v>46211</v>
      </c>
      <c r="AU6" s="9">
        <f t="shared" si="0"/>
        <v>46212</v>
      </c>
      <c r="AV6" s="9">
        <f t="shared" si="0"/>
        <v>46213</v>
      </c>
      <c r="AW6" s="9">
        <f t="shared" ref="AW6:BZ6" si="1">AV6+1</f>
        <v>46214</v>
      </c>
      <c r="AX6" s="10">
        <f t="shared" si="1"/>
        <v>46215</v>
      </c>
      <c r="AY6" s="8">
        <f t="shared" si="1"/>
        <v>46216</v>
      </c>
      <c r="AZ6" s="9">
        <f t="shared" si="1"/>
        <v>46217</v>
      </c>
      <c r="BA6" s="9">
        <f t="shared" si="1"/>
        <v>46218</v>
      </c>
      <c r="BB6" s="9">
        <f t="shared" si="1"/>
        <v>46219</v>
      </c>
      <c r="BC6" s="9">
        <f t="shared" si="1"/>
        <v>46220</v>
      </c>
      <c r="BD6" s="9">
        <f t="shared" si="1"/>
        <v>46221</v>
      </c>
      <c r="BE6" s="10">
        <f t="shared" si="1"/>
        <v>46222</v>
      </c>
      <c r="BF6" s="8">
        <f t="shared" si="1"/>
        <v>46223</v>
      </c>
      <c r="BG6" s="9">
        <f t="shared" si="1"/>
        <v>46224</v>
      </c>
      <c r="BH6" s="9">
        <f t="shared" si="1"/>
        <v>46225</v>
      </c>
      <c r="BI6" s="9">
        <f t="shared" si="1"/>
        <v>46226</v>
      </c>
      <c r="BJ6" s="9">
        <f t="shared" si="1"/>
        <v>46227</v>
      </c>
      <c r="BK6" s="9">
        <f t="shared" si="1"/>
        <v>46228</v>
      </c>
      <c r="BL6" s="10">
        <f t="shared" si="1"/>
        <v>46229</v>
      </c>
      <c r="BM6" s="8">
        <f t="shared" si="1"/>
        <v>46230</v>
      </c>
      <c r="BN6" s="9">
        <f t="shared" si="1"/>
        <v>46231</v>
      </c>
      <c r="BO6" s="9">
        <f t="shared" si="1"/>
        <v>46232</v>
      </c>
      <c r="BP6" s="9">
        <f t="shared" si="1"/>
        <v>46233</v>
      </c>
      <c r="BQ6" s="9">
        <f t="shared" si="1"/>
        <v>46234</v>
      </c>
      <c r="BR6" s="9">
        <f t="shared" si="1"/>
        <v>46235</v>
      </c>
      <c r="BS6" s="10">
        <f t="shared" si="1"/>
        <v>46236</v>
      </c>
      <c r="BT6" s="8">
        <f t="shared" si="1"/>
        <v>46237</v>
      </c>
      <c r="BU6" s="9">
        <f t="shared" si="1"/>
        <v>46238</v>
      </c>
      <c r="BV6" s="9">
        <f t="shared" si="1"/>
        <v>46239</v>
      </c>
      <c r="BW6" s="9">
        <f t="shared" si="1"/>
        <v>46240</v>
      </c>
      <c r="BX6" s="9">
        <f t="shared" si="1"/>
        <v>46241</v>
      </c>
      <c r="BY6" s="9">
        <f t="shared" si="1"/>
        <v>46242</v>
      </c>
      <c r="BZ6" s="10">
        <f t="shared" si="1"/>
        <v>46243</v>
      </c>
    </row>
    <row r="7" spans="1:78" ht="30" customHeight="1" x14ac:dyDescent="0.25">
      <c r="A7" s="34" t="s">
        <v>7</v>
      </c>
      <c r="B7" s="35" t="s">
        <v>8</v>
      </c>
      <c r="C7" s="36" t="s">
        <v>9</v>
      </c>
      <c r="D7" s="36" t="s">
        <v>10</v>
      </c>
      <c r="E7" s="36" t="s">
        <v>11</v>
      </c>
      <c r="F7" s="36" t="s">
        <v>12</v>
      </c>
      <c r="G7" s="36" t="s">
        <v>13</v>
      </c>
      <c r="H7" s="37" t="s">
        <v>14</v>
      </c>
      <c r="I7" s="37" t="s">
        <v>15</v>
      </c>
      <c r="J7" s="38" t="s">
        <v>16</v>
      </c>
      <c r="K7" s="39" t="s">
        <v>17</v>
      </c>
      <c r="L7" s="37" t="s">
        <v>18</v>
      </c>
      <c r="M7" s="82" t="s">
        <v>19</v>
      </c>
      <c r="N7" s="36" t="s">
        <v>20</v>
      </c>
      <c r="P7" s="11" t="str">
        <f t="shared" ref="P7:AU7" si="2">LEFT(TEXT(P6,"ddd"),1)</f>
        <v>M</v>
      </c>
      <c r="Q7" s="11" t="str">
        <f t="shared" si="2"/>
        <v>T</v>
      </c>
      <c r="R7" s="11" t="str">
        <f t="shared" si="2"/>
        <v>W</v>
      </c>
      <c r="S7" s="11" t="str">
        <f t="shared" si="2"/>
        <v>T</v>
      </c>
      <c r="T7" s="11" t="str">
        <f t="shared" si="2"/>
        <v>F</v>
      </c>
      <c r="U7" s="11" t="str">
        <f t="shared" si="2"/>
        <v>S</v>
      </c>
      <c r="V7" s="11" t="str">
        <f t="shared" si="2"/>
        <v>S</v>
      </c>
      <c r="W7" s="11" t="str">
        <f t="shared" si="2"/>
        <v>M</v>
      </c>
      <c r="X7" s="11" t="str">
        <f t="shared" si="2"/>
        <v>T</v>
      </c>
      <c r="Y7" s="11" t="str">
        <f t="shared" si="2"/>
        <v>W</v>
      </c>
      <c r="Z7" s="11" t="str">
        <f t="shared" si="2"/>
        <v>T</v>
      </c>
      <c r="AA7" s="11" t="str">
        <f t="shared" si="2"/>
        <v>F</v>
      </c>
      <c r="AB7" s="11" t="str">
        <f t="shared" si="2"/>
        <v>S</v>
      </c>
      <c r="AC7" s="11" t="str">
        <f t="shared" si="2"/>
        <v>S</v>
      </c>
      <c r="AD7" s="11" t="str">
        <f t="shared" si="2"/>
        <v>M</v>
      </c>
      <c r="AE7" s="11" t="str">
        <f t="shared" si="2"/>
        <v>T</v>
      </c>
      <c r="AF7" s="11" t="str">
        <f t="shared" si="2"/>
        <v>W</v>
      </c>
      <c r="AG7" s="11" t="str">
        <f t="shared" si="2"/>
        <v>T</v>
      </c>
      <c r="AH7" s="11" t="str">
        <f t="shared" si="2"/>
        <v>F</v>
      </c>
      <c r="AI7" s="11" t="str">
        <f t="shared" si="2"/>
        <v>S</v>
      </c>
      <c r="AJ7" s="11" t="str">
        <f t="shared" si="2"/>
        <v>S</v>
      </c>
      <c r="AK7" s="11" t="str">
        <f t="shared" si="2"/>
        <v>M</v>
      </c>
      <c r="AL7" s="11" t="str">
        <f t="shared" si="2"/>
        <v>T</v>
      </c>
      <c r="AM7" s="11" t="str">
        <f t="shared" si="2"/>
        <v>W</v>
      </c>
      <c r="AN7" s="11" t="str">
        <f t="shared" si="2"/>
        <v>T</v>
      </c>
      <c r="AO7" s="11" t="str">
        <f t="shared" si="2"/>
        <v>F</v>
      </c>
      <c r="AP7" s="11" t="str">
        <f t="shared" si="2"/>
        <v>S</v>
      </c>
      <c r="AQ7" s="11" t="str">
        <f t="shared" si="2"/>
        <v>S</v>
      </c>
      <c r="AR7" s="11" t="str">
        <f t="shared" si="2"/>
        <v>M</v>
      </c>
      <c r="AS7" s="11" t="str">
        <f t="shared" si="2"/>
        <v>T</v>
      </c>
      <c r="AT7" s="11" t="str">
        <f t="shared" si="2"/>
        <v>W</v>
      </c>
      <c r="AU7" s="11" t="str">
        <f t="shared" si="2"/>
        <v>T</v>
      </c>
      <c r="AV7" s="11" t="str">
        <f t="shared" ref="AV7:CA7" si="3">LEFT(TEXT(AV6,"ddd"),1)</f>
        <v>F</v>
      </c>
      <c r="AW7" s="11" t="str">
        <f t="shared" si="3"/>
        <v>S</v>
      </c>
      <c r="AX7" s="11" t="str">
        <f t="shared" si="3"/>
        <v>S</v>
      </c>
      <c r="AY7" s="11" t="str">
        <f t="shared" si="3"/>
        <v>M</v>
      </c>
      <c r="AZ7" s="11" t="str">
        <f t="shared" si="3"/>
        <v>T</v>
      </c>
      <c r="BA7" s="11" t="str">
        <f t="shared" si="3"/>
        <v>W</v>
      </c>
      <c r="BB7" s="11" t="str">
        <f t="shared" si="3"/>
        <v>T</v>
      </c>
      <c r="BC7" s="11" t="str">
        <f t="shared" si="3"/>
        <v>F</v>
      </c>
      <c r="BD7" s="11" t="str">
        <f t="shared" si="3"/>
        <v>S</v>
      </c>
      <c r="BE7" s="11" t="str">
        <f t="shared" si="3"/>
        <v>S</v>
      </c>
      <c r="BF7" s="11" t="str">
        <f t="shared" si="3"/>
        <v>M</v>
      </c>
      <c r="BG7" s="11" t="str">
        <f t="shared" si="3"/>
        <v>T</v>
      </c>
      <c r="BH7" s="11" t="str">
        <f t="shared" si="3"/>
        <v>W</v>
      </c>
      <c r="BI7" s="11" t="str">
        <f t="shared" si="3"/>
        <v>T</v>
      </c>
      <c r="BJ7" s="11" t="str">
        <f t="shared" si="3"/>
        <v>F</v>
      </c>
      <c r="BK7" s="11" t="str">
        <f t="shared" si="3"/>
        <v>S</v>
      </c>
      <c r="BL7" s="11" t="str">
        <f t="shared" si="3"/>
        <v>S</v>
      </c>
      <c r="BM7" s="11" t="str">
        <f t="shared" si="3"/>
        <v>M</v>
      </c>
      <c r="BN7" s="11" t="str">
        <f t="shared" si="3"/>
        <v>T</v>
      </c>
      <c r="BO7" s="11" t="str">
        <f t="shared" si="3"/>
        <v>W</v>
      </c>
      <c r="BP7" s="11" t="str">
        <f t="shared" si="3"/>
        <v>T</v>
      </c>
      <c r="BQ7" s="11" t="str">
        <f t="shared" si="3"/>
        <v>F</v>
      </c>
      <c r="BR7" s="11" t="str">
        <f t="shared" si="3"/>
        <v>S</v>
      </c>
      <c r="BS7" s="11" t="str">
        <f t="shared" si="3"/>
        <v>S</v>
      </c>
      <c r="BT7" s="11" t="str">
        <f t="shared" si="3"/>
        <v>M</v>
      </c>
      <c r="BU7" s="11" t="str">
        <f t="shared" si="3"/>
        <v>T</v>
      </c>
      <c r="BV7" s="11" t="str">
        <f t="shared" si="3"/>
        <v>W</v>
      </c>
      <c r="BW7" s="11" t="str">
        <f t="shared" si="3"/>
        <v>T</v>
      </c>
      <c r="BX7" s="11" t="str">
        <f t="shared" si="3"/>
        <v>F</v>
      </c>
      <c r="BY7" s="11" t="str">
        <f t="shared" si="3"/>
        <v>S</v>
      </c>
      <c r="BZ7" s="11" t="str">
        <f t="shared" si="3"/>
        <v>S</v>
      </c>
    </row>
    <row r="8" spans="1:78" s="43" customFormat="1" ht="28.05" customHeight="1" x14ac:dyDescent="0.25">
      <c r="A8" s="86" t="s">
        <v>21</v>
      </c>
      <c r="B8" s="87"/>
      <c r="C8" s="86"/>
      <c r="D8" s="86"/>
      <c r="E8" s="86"/>
      <c r="F8" s="86"/>
      <c r="G8" s="86"/>
      <c r="H8" s="86"/>
      <c r="I8" s="86"/>
      <c r="J8" s="86"/>
      <c r="K8" s="86"/>
      <c r="L8" s="88" t="s">
        <v>22</v>
      </c>
      <c r="M8" s="89">
        <v>1</v>
      </c>
      <c r="N8" s="42" t="s">
        <v>23</v>
      </c>
    </row>
    <row r="9" spans="1:78" ht="28.05" customHeight="1" outlineLevel="1" x14ac:dyDescent="0.25">
      <c r="A9" s="90"/>
      <c r="B9" s="91" t="s">
        <v>24</v>
      </c>
      <c r="C9" s="91" t="s">
        <v>25</v>
      </c>
      <c r="D9" s="92">
        <v>46185</v>
      </c>
      <c r="E9" s="92">
        <v>46186</v>
      </c>
      <c r="F9" s="91">
        <v>2</v>
      </c>
      <c r="G9" s="93" t="s">
        <v>22</v>
      </c>
      <c r="H9" s="94"/>
      <c r="I9" s="94">
        <v>4</v>
      </c>
      <c r="J9" s="95">
        <v>46186</v>
      </c>
      <c r="K9" s="96" t="s">
        <v>23</v>
      </c>
      <c r="L9" s="97"/>
      <c r="M9" s="98"/>
      <c r="N9" s="24"/>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8.05" customHeight="1" outlineLevel="1" x14ac:dyDescent="0.25">
      <c r="A10" s="90"/>
      <c r="B10" s="91" t="s">
        <v>26</v>
      </c>
      <c r="C10" s="99" t="s">
        <v>25</v>
      </c>
      <c r="D10" s="92">
        <v>46185</v>
      </c>
      <c r="E10" s="92">
        <v>46187</v>
      </c>
      <c r="F10" s="91">
        <v>3</v>
      </c>
      <c r="G10" s="93" t="s">
        <v>22</v>
      </c>
      <c r="H10" s="91" t="s">
        <v>27</v>
      </c>
      <c r="I10" s="91">
        <v>5</v>
      </c>
      <c r="J10" s="95">
        <v>46187</v>
      </c>
      <c r="K10" s="96" t="s">
        <v>23</v>
      </c>
      <c r="L10" s="97"/>
      <c r="M10" s="98"/>
      <c r="N10" s="24"/>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8.05" customHeight="1" outlineLevel="1" x14ac:dyDescent="0.25">
      <c r="A11" s="90"/>
      <c r="B11" s="91" t="s">
        <v>28</v>
      </c>
      <c r="C11" s="99" t="s">
        <v>25</v>
      </c>
      <c r="D11" s="92">
        <v>46186</v>
      </c>
      <c r="E11" s="92">
        <v>46188</v>
      </c>
      <c r="F11" s="91">
        <v>3</v>
      </c>
      <c r="G11" s="93" t="s">
        <v>22</v>
      </c>
      <c r="H11" s="91" t="s">
        <v>29</v>
      </c>
      <c r="I11" s="91">
        <v>5</v>
      </c>
      <c r="J11" s="100">
        <v>46188</v>
      </c>
      <c r="K11" s="101" t="s">
        <v>23</v>
      </c>
      <c r="L11" s="97"/>
      <c r="M11" s="102"/>
      <c r="N11" s="24"/>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8.05" customHeight="1" outlineLevel="1" x14ac:dyDescent="0.25">
      <c r="A12" s="90"/>
      <c r="B12" s="91" t="s">
        <v>30</v>
      </c>
      <c r="C12" s="99" t="s">
        <v>25</v>
      </c>
      <c r="D12" s="92">
        <v>46187</v>
      </c>
      <c r="E12" s="92">
        <v>46189</v>
      </c>
      <c r="F12" s="91">
        <v>3</v>
      </c>
      <c r="G12" s="93" t="s">
        <v>22</v>
      </c>
      <c r="H12" s="91" t="s">
        <v>29</v>
      </c>
      <c r="I12" s="91">
        <v>5</v>
      </c>
      <c r="J12" s="100">
        <v>46189</v>
      </c>
      <c r="K12" s="101" t="s">
        <v>23</v>
      </c>
      <c r="L12" s="97"/>
      <c r="M12" s="102"/>
      <c r="N12" s="24"/>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28.05" customHeight="1" outlineLevel="1" x14ac:dyDescent="0.25">
      <c r="A13" s="90"/>
      <c r="B13" s="91" t="s">
        <v>31</v>
      </c>
      <c r="C13" s="99" t="s">
        <v>25</v>
      </c>
      <c r="D13" s="92">
        <v>46188</v>
      </c>
      <c r="E13" s="92">
        <v>46191</v>
      </c>
      <c r="F13" s="91">
        <v>4</v>
      </c>
      <c r="G13" s="93" t="s">
        <v>22</v>
      </c>
      <c r="H13" s="91" t="s">
        <v>32</v>
      </c>
      <c r="I13" s="91">
        <v>8</v>
      </c>
      <c r="J13" s="95">
        <v>46191</v>
      </c>
      <c r="K13" s="96" t="s">
        <v>23</v>
      </c>
      <c r="L13" s="97"/>
      <c r="M13" s="102"/>
      <c r="N13" s="24"/>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28.05" customHeight="1" outlineLevel="1" x14ac:dyDescent="0.25">
      <c r="A14" s="90" t="s">
        <v>33</v>
      </c>
      <c r="B14" s="91"/>
      <c r="C14" s="91"/>
      <c r="D14" s="91"/>
      <c r="E14" s="91"/>
      <c r="F14" s="91"/>
      <c r="G14" s="93"/>
      <c r="H14" s="91"/>
      <c r="I14" s="91"/>
      <c r="J14" s="103"/>
      <c r="K14" s="101"/>
      <c r="L14" s="97" t="s">
        <v>22</v>
      </c>
      <c r="M14" s="102">
        <v>1</v>
      </c>
      <c r="N14" s="24" t="s">
        <v>23</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28.05" customHeight="1" outlineLevel="1" x14ac:dyDescent="0.25">
      <c r="A15" s="90"/>
      <c r="B15" s="91" t="s">
        <v>34</v>
      </c>
      <c r="C15" s="99" t="s">
        <v>25</v>
      </c>
      <c r="D15" s="92">
        <v>46191</v>
      </c>
      <c r="E15" s="92">
        <v>46193</v>
      </c>
      <c r="F15" s="91">
        <v>3</v>
      </c>
      <c r="G15" s="93" t="s">
        <v>22</v>
      </c>
      <c r="H15" s="91" t="s">
        <v>35</v>
      </c>
      <c r="I15" s="91">
        <v>5</v>
      </c>
      <c r="J15" s="100">
        <v>46193</v>
      </c>
      <c r="K15" s="101" t="s">
        <v>23</v>
      </c>
      <c r="L15" s="97"/>
      <c r="M15" s="102"/>
      <c r="N15" s="24"/>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28.05" customHeight="1" outlineLevel="1" x14ac:dyDescent="0.25">
      <c r="A16" s="90"/>
      <c r="B16" s="91" t="s">
        <v>36</v>
      </c>
      <c r="C16" s="99" t="s">
        <v>25</v>
      </c>
      <c r="D16" s="92">
        <v>46192</v>
      </c>
      <c r="E16" s="92">
        <v>46194</v>
      </c>
      <c r="F16" s="91">
        <v>3</v>
      </c>
      <c r="G16" s="93" t="s">
        <v>22</v>
      </c>
      <c r="H16" s="91" t="s">
        <v>37</v>
      </c>
      <c r="I16" s="91">
        <v>5</v>
      </c>
      <c r="J16" s="100">
        <v>46194</v>
      </c>
      <c r="K16" s="101" t="s">
        <v>23</v>
      </c>
      <c r="L16" s="97"/>
      <c r="M16" s="102"/>
      <c r="N16" s="24"/>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28.05" customHeight="1" outlineLevel="1" x14ac:dyDescent="0.25">
      <c r="A17" s="90"/>
      <c r="B17" s="91" t="s">
        <v>38</v>
      </c>
      <c r="C17" s="99" t="s">
        <v>25</v>
      </c>
      <c r="D17" s="92">
        <v>46193</v>
      </c>
      <c r="E17" s="92">
        <v>46195</v>
      </c>
      <c r="F17" s="91">
        <v>3</v>
      </c>
      <c r="G17" s="93" t="s">
        <v>22</v>
      </c>
      <c r="H17" s="91" t="s">
        <v>37</v>
      </c>
      <c r="I17" s="91">
        <v>4</v>
      </c>
      <c r="J17" s="100">
        <v>46195</v>
      </c>
      <c r="K17" s="101" t="s">
        <v>23</v>
      </c>
      <c r="L17" s="97"/>
      <c r="M17" s="102"/>
      <c r="N17" s="24"/>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45" customFormat="1" ht="28.05" customHeight="1" x14ac:dyDescent="0.25">
      <c r="A18" s="86"/>
      <c r="B18" s="87" t="s">
        <v>39</v>
      </c>
      <c r="C18" s="86" t="s">
        <v>25</v>
      </c>
      <c r="D18" s="104">
        <v>46193</v>
      </c>
      <c r="E18" s="104">
        <v>46195</v>
      </c>
      <c r="F18" s="86">
        <v>3</v>
      </c>
      <c r="G18" s="86" t="s">
        <v>22</v>
      </c>
      <c r="H18" s="86" t="s">
        <v>37</v>
      </c>
      <c r="I18" s="86">
        <v>6</v>
      </c>
      <c r="J18" s="104">
        <v>46195</v>
      </c>
      <c r="K18" s="86" t="s">
        <v>23</v>
      </c>
      <c r="L18" s="88"/>
      <c r="M18" s="89"/>
      <c r="N18" s="42"/>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row>
    <row r="19" spans="1:78" ht="28.05" customHeight="1" outlineLevel="1" x14ac:dyDescent="0.25">
      <c r="A19" s="96"/>
      <c r="B19" s="96" t="s">
        <v>40</v>
      </c>
      <c r="C19" s="96" t="s">
        <v>25</v>
      </c>
      <c r="D19" s="95">
        <v>46194</v>
      </c>
      <c r="E19" s="95">
        <v>46196</v>
      </c>
      <c r="F19" s="96">
        <v>3</v>
      </c>
      <c r="G19" s="96" t="s">
        <v>22</v>
      </c>
      <c r="H19" s="96" t="s">
        <v>41</v>
      </c>
      <c r="I19" s="96">
        <v>4</v>
      </c>
      <c r="J19" s="95">
        <v>46196</v>
      </c>
      <c r="K19" s="96" t="s">
        <v>23</v>
      </c>
      <c r="L19" s="97"/>
      <c r="M19" s="98"/>
      <c r="N19" s="24"/>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8.05" customHeight="1" outlineLevel="1" x14ac:dyDescent="0.25">
      <c r="A20" s="24" t="s">
        <v>42</v>
      </c>
      <c r="B20" s="24"/>
      <c r="C20" s="105"/>
      <c r="D20" s="24"/>
      <c r="E20" s="24"/>
      <c r="F20" s="24"/>
      <c r="G20" s="106"/>
      <c r="H20" s="97"/>
      <c r="I20" s="97"/>
      <c r="J20" s="97"/>
      <c r="K20" s="98"/>
      <c r="L20" s="97" t="s">
        <v>22</v>
      </c>
      <c r="M20" s="98">
        <v>1</v>
      </c>
      <c r="N20" s="24" t="s">
        <v>23</v>
      </c>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28.05" customHeight="1" outlineLevel="1" x14ac:dyDescent="0.25">
      <c r="A21" s="24"/>
      <c r="B21" s="24" t="s">
        <v>43</v>
      </c>
      <c r="C21" s="24" t="s">
        <v>25</v>
      </c>
      <c r="D21" s="107">
        <v>46196</v>
      </c>
      <c r="E21" s="107">
        <v>46197</v>
      </c>
      <c r="F21" s="24">
        <v>2</v>
      </c>
      <c r="G21" s="24" t="s">
        <v>22</v>
      </c>
      <c r="H21" s="97" t="s">
        <v>41</v>
      </c>
      <c r="I21" s="97">
        <v>4</v>
      </c>
      <c r="J21" s="107">
        <v>46197</v>
      </c>
      <c r="K21" s="98" t="s">
        <v>23</v>
      </c>
      <c r="L21" s="97"/>
      <c r="M21" s="98"/>
      <c r="N21" s="24"/>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8.05" customHeight="1" outlineLevel="1" x14ac:dyDescent="0.25">
      <c r="A22" s="24"/>
      <c r="B22" s="24" t="s">
        <v>44</v>
      </c>
      <c r="C22" s="105" t="s">
        <v>25</v>
      </c>
      <c r="D22" s="107">
        <v>46196</v>
      </c>
      <c r="E22" s="107">
        <v>46200</v>
      </c>
      <c r="F22" s="24">
        <v>5</v>
      </c>
      <c r="G22" s="106" t="s">
        <v>22</v>
      </c>
      <c r="H22" s="97" t="s">
        <v>45</v>
      </c>
      <c r="I22" s="97">
        <v>8</v>
      </c>
      <c r="J22" s="107">
        <v>46200</v>
      </c>
      <c r="K22" s="98" t="s">
        <v>23</v>
      </c>
      <c r="L22" s="97"/>
      <c r="M22" s="98"/>
      <c r="N22" s="24"/>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28.05" customHeight="1" outlineLevel="1" x14ac:dyDescent="0.25">
      <c r="A23" s="24"/>
      <c r="B23" s="24" t="s">
        <v>46</v>
      </c>
      <c r="C23" s="24" t="s">
        <v>25</v>
      </c>
      <c r="D23" s="107">
        <v>46197</v>
      </c>
      <c r="E23" s="107">
        <v>46201</v>
      </c>
      <c r="F23" s="24">
        <v>5</v>
      </c>
      <c r="G23" s="24" t="s">
        <v>22</v>
      </c>
      <c r="H23" s="97" t="s">
        <v>47</v>
      </c>
      <c r="I23" s="97">
        <v>6</v>
      </c>
      <c r="J23" s="107">
        <v>46201</v>
      </c>
      <c r="K23" s="98" t="s">
        <v>23</v>
      </c>
      <c r="L23" s="97"/>
      <c r="M23" s="98"/>
      <c r="N23" s="24"/>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28.05" customHeight="1" outlineLevel="1" x14ac:dyDescent="0.25">
      <c r="A24" s="24"/>
      <c r="B24" s="24" t="s">
        <v>48</v>
      </c>
      <c r="C24" s="105" t="s">
        <v>25</v>
      </c>
      <c r="D24" s="107">
        <v>46200</v>
      </c>
      <c r="E24" s="107">
        <v>46203</v>
      </c>
      <c r="F24" s="24">
        <v>4</v>
      </c>
      <c r="G24" s="106" t="s">
        <v>22</v>
      </c>
      <c r="H24" s="97" t="s">
        <v>49</v>
      </c>
      <c r="I24" s="97">
        <v>7</v>
      </c>
      <c r="J24" s="107">
        <v>46203</v>
      </c>
      <c r="K24" s="98" t="s">
        <v>23</v>
      </c>
      <c r="L24" s="97"/>
      <c r="M24" s="98"/>
      <c r="N24" s="24"/>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28.05" customHeight="1" outlineLevel="1" x14ac:dyDescent="0.25">
      <c r="A25" s="24"/>
      <c r="B25" s="24" t="s">
        <v>50</v>
      </c>
      <c r="C25" s="105" t="s">
        <v>25</v>
      </c>
      <c r="D25" s="107">
        <v>46203</v>
      </c>
      <c r="E25" s="107">
        <v>46206</v>
      </c>
      <c r="F25" s="24">
        <v>4</v>
      </c>
      <c r="G25" s="106" t="s">
        <v>22</v>
      </c>
      <c r="H25" s="97" t="s">
        <v>51</v>
      </c>
      <c r="I25" s="97">
        <v>7</v>
      </c>
      <c r="J25" s="107">
        <v>46206</v>
      </c>
      <c r="K25" s="98" t="s">
        <v>23</v>
      </c>
      <c r="L25" s="97"/>
      <c r="M25" s="98"/>
      <c r="N25" s="24"/>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8.05" customHeight="1" outlineLevel="1" x14ac:dyDescent="0.25">
      <c r="A26" s="24"/>
      <c r="B26" s="24" t="s">
        <v>52</v>
      </c>
      <c r="C26" s="105" t="s">
        <v>25</v>
      </c>
      <c r="D26" s="107">
        <v>46205</v>
      </c>
      <c r="E26" s="107">
        <v>46207</v>
      </c>
      <c r="F26" s="24">
        <v>3</v>
      </c>
      <c r="G26" s="106" t="s">
        <v>22</v>
      </c>
      <c r="H26" s="97" t="s">
        <v>51</v>
      </c>
      <c r="I26" s="97">
        <v>5</v>
      </c>
      <c r="J26" s="107">
        <v>46207</v>
      </c>
      <c r="K26" s="98" t="s">
        <v>23</v>
      </c>
      <c r="L26" s="97"/>
      <c r="M26" s="98"/>
      <c r="N26" s="24"/>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28.05" customHeight="1" outlineLevel="1" x14ac:dyDescent="0.25">
      <c r="A27" s="24"/>
      <c r="B27" s="24" t="s">
        <v>53</v>
      </c>
      <c r="C27" s="105" t="s">
        <v>25</v>
      </c>
      <c r="D27" s="108">
        <v>46206</v>
      </c>
      <c r="E27" s="107">
        <v>46210</v>
      </c>
      <c r="F27" s="24">
        <v>5</v>
      </c>
      <c r="G27" s="106" t="s">
        <v>22</v>
      </c>
      <c r="H27" s="97" t="s">
        <v>51</v>
      </c>
      <c r="I27" s="97">
        <v>8</v>
      </c>
      <c r="J27" s="107">
        <v>46210</v>
      </c>
      <c r="K27" s="98" t="s">
        <v>23</v>
      </c>
      <c r="L27" s="97"/>
      <c r="M27" s="98"/>
      <c r="N27" s="24"/>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8.05" customHeight="1" outlineLevel="1" x14ac:dyDescent="0.25">
      <c r="A28" s="24"/>
      <c r="B28" s="24" t="s">
        <v>54</v>
      </c>
      <c r="C28" s="105" t="s">
        <v>25</v>
      </c>
      <c r="D28" s="108">
        <v>46208</v>
      </c>
      <c r="E28" s="107">
        <v>46211</v>
      </c>
      <c r="F28" s="24">
        <v>4</v>
      </c>
      <c r="G28" s="106" t="s">
        <v>22</v>
      </c>
      <c r="H28" s="97" t="s">
        <v>51</v>
      </c>
      <c r="I28" s="97">
        <v>7</v>
      </c>
      <c r="J28" s="107">
        <v>46211</v>
      </c>
      <c r="K28" s="98" t="s">
        <v>23</v>
      </c>
      <c r="L28" s="97"/>
      <c r="M28" s="98"/>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28.05" customHeight="1" outlineLevel="1" x14ac:dyDescent="0.25">
      <c r="A29" s="24"/>
      <c r="B29" s="24" t="s">
        <v>55</v>
      </c>
      <c r="C29" s="105" t="s">
        <v>25</v>
      </c>
      <c r="D29" s="108">
        <v>46211</v>
      </c>
      <c r="E29" s="107">
        <v>46213</v>
      </c>
      <c r="F29" s="24">
        <v>3</v>
      </c>
      <c r="G29" s="106" t="s">
        <v>22</v>
      </c>
      <c r="H29" s="97" t="s">
        <v>56</v>
      </c>
      <c r="I29" s="97">
        <v>6</v>
      </c>
      <c r="J29" s="107">
        <v>46213</v>
      </c>
      <c r="K29" s="98" t="s">
        <v>23</v>
      </c>
      <c r="L29" s="97"/>
      <c r="M29" s="98"/>
      <c r="N29" s="24"/>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28.05" customHeight="1" outlineLevel="1" x14ac:dyDescent="0.25">
      <c r="A30" s="24"/>
      <c r="B30" s="24" t="s">
        <v>57</v>
      </c>
      <c r="C30" s="105" t="s">
        <v>25</v>
      </c>
      <c r="D30" s="107">
        <v>46212</v>
      </c>
      <c r="E30" s="107">
        <v>46214</v>
      </c>
      <c r="F30" s="24">
        <v>3</v>
      </c>
      <c r="G30" s="106" t="s">
        <v>22</v>
      </c>
      <c r="H30" s="97" t="s">
        <v>58</v>
      </c>
      <c r="I30" s="97">
        <v>5</v>
      </c>
      <c r="J30" s="107">
        <v>46214</v>
      </c>
      <c r="K30" s="98" t="s">
        <v>23</v>
      </c>
      <c r="L30" s="97"/>
      <c r="M30" s="98"/>
      <c r="N30" s="24"/>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28.05" customHeight="1" outlineLevel="1" x14ac:dyDescent="0.25">
      <c r="A31" s="24"/>
      <c r="B31" s="24" t="s">
        <v>59</v>
      </c>
      <c r="C31" s="105" t="s">
        <v>25</v>
      </c>
      <c r="D31" s="108">
        <v>46213</v>
      </c>
      <c r="E31" s="107">
        <v>46215</v>
      </c>
      <c r="F31" s="24">
        <v>3</v>
      </c>
      <c r="G31" s="106" t="s">
        <v>22</v>
      </c>
      <c r="H31" s="97" t="s">
        <v>60</v>
      </c>
      <c r="I31" s="97">
        <v>5</v>
      </c>
      <c r="J31" s="107">
        <v>46215</v>
      </c>
      <c r="K31" s="98" t="s">
        <v>23</v>
      </c>
      <c r="L31" s="97"/>
      <c r="M31" s="98"/>
      <c r="N31" s="24"/>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28.05" customHeight="1" outlineLevel="1" x14ac:dyDescent="0.25">
      <c r="A32" s="24"/>
      <c r="B32" s="24" t="s">
        <v>61</v>
      </c>
      <c r="C32" s="105" t="s">
        <v>25</v>
      </c>
      <c r="D32" s="108">
        <v>46215</v>
      </c>
      <c r="E32" s="107">
        <v>46216</v>
      </c>
      <c r="F32" s="24">
        <v>2</v>
      </c>
      <c r="G32" s="106" t="s">
        <v>22</v>
      </c>
      <c r="H32" s="97" t="s">
        <v>62</v>
      </c>
      <c r="I32" s="97">
        <v>3</v>
      </c>
      <c r="J32" s="107">
        <v>46216</v>
      </c>
      <c r="K32" s="98" t="s">
        <v>23</v>
      </c>
      <c r="L32" s="97"/>
      <c r="M32" s="102"/>
      <c r="N32" s="24"/>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28.05" customHeight="1" outlineLevel="1" x14ac:dyDescent="0.25">
      <c r="A33" s="24"/>
      <c r="B33" s="24" t="s">
        <v>63</v>
      </c>
      <c r="C33" s="105" t="s">
        <v>25</v>
      </c>
      <c r="D33" s="107">
        <v>46213</v>
      </c>
      <c r="E33" s="107">
        <v>46216</v>
      </c>
      <c r="F33" s="24">
        <v>4</v>
      </c>
      <c r="G33" s="24" t="s">
        <v>22</v>
      </c>
      <c r="H33" s="97" t="s">
        <v>64</v>
      </c>
      <c r="I33" s="97">
        <v>6</v>
      </c>
      <c r="J33" s="107">
        <v>46216</v>
      </c>
      <c r="K33" s="98" t="s">
        <v>23</v>
      </c>
      <c r="L33" s="97"/>
      <c r="M33" s="102"/>
      <c r="N33" s="24"/>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28.05" customHeight="1" outlineLevel="1" x14ac:dyDescent="0.25">
      <c r="A34" s="24"/>
      <c r="B34" s="24" t="s">
        <v>65</v>
      </c>
      <c r="C34" s="105" t="s">
        <v>25</v>
      </c>
      <c r="D34" s="108">
        <v>46215</v>
      </c>
      <c r="E34" s="107">
        <v>46219</v>
      </c>
      <c r="F34" s="24">
        <v>5</v>
      </c>
      <c r="G34" s="106" t="s">
        <v>22</v>
      </c>
      <c r="H34" s="97" t="s">
        <v>66</v>
      </c>
      <c r="I34" s="97">
        <v>8</v>
      </c>
      <c r="J34" s="107">
        <v>46219</v>
      </c>
      <c r="K34" s="98" t="s">
        <v>23</v>
      </c>
      <c r="L34" s="97"/>
      <c r="M34" s="102"/>
      <c r="N34" s="24"/>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28.05" customHeight="1" outlineLevel="1" x14ac:dyDescent="0.25">
      <c r="A35" s="24"/>
      <c r="B35" s="24" t="s">
        <v>67</v>
      </c>
      <c r="C35" s="105" t="s">
        <v>25</v>
      </c>
      <c r="D35" s="108">
        <v>46218</v>
      </c>
      <c r="E35" s="107">
        <v>46221</v>
      </c>
      <c r="F35" s="24">
        <v>4</v>
      </c>
      <c r="G35" s="106" t="s">
        <v>22</v>
      </c>
      <c r="H35" s="97" t="s">
        <v>68</v>
      </c>
      <c r="I35" s="97">
        <v>7</v>
      </c>
      <c r="J35" s="107">
        <v>46221</v>
      </c>
      <c r="K35" s="98" t="s">
        <v>23</v>
      </c>
      <c r="L35" s="97"/>
      <c r="M35" s="102"/>
      <c r="N35" s="24"/>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28.05" customHeight="1" outlineLevel="1" x14ac:dyDescent="0.25">
      <c r="A36" s="24"/>
      <c r="B36" s="24" t="s">
        <v>69</v>
      </c>
      <c r="C36" s="105" t="s">
        <v>25</v>
      </c>
      <c r="D36" s="108">
        <v>46219</v>
      </c>
      <c r="E36" s="107">
        <v>46222</v>
      </c>
      <c r="F36" s="24">
        <v>4</v>
      </c>
      <c r="G36" s="106" t="s">
        <v>22</v>
      </c>
      <c r="H36" s="97" t="s">
        <v>70</v>
      </c>
      <c r="I36" s="97">
        <v>6</v>
      </c>
      <c r="J36" s="107">
        <v>46222</v>
      </c>
      <c r="K36" s="98" t="s">
        <v>23</v>
      </c>
      <c r="L36" s="97"/>
      <c r="M36" s="102"/>
      <c r="N36" s="24"/>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8.05" customHeight="1" outlineLevel="1" x14ac:dyDescent="0.25">
      <c r="A37" s="24"/>
      <c r="B37" s="24" t="s">
        <v>71</v>
      </c>
      <c r="C37" s="105" t="s">
        <v>25</v>
      </c>
      <c r="D37" s="108">
        <v>46220</v>
      </c>
      <c r="E37" s="107">
        <v>46223</v>
      </c>
      <c r="F37" s="24">
        <v>4</v>
      </c>
      <c r="G37" s="106" t="s">
        <v>22</v>
      </c>
      <c r="H37" s="97" t="s">
        <v>72</v>
      </c>
      <c r="I37" s="97">
        <v>6</v>
      </c>
      <c r="J37" s="107">
        <v>46223</v>
      </c>
      <c r="K37" s="98" t="s">
        <v>23</v>
      </c>
      <c r="L37" s="97"/>
      <c r="M37" s="102"/>
      <c r="N37" s="24"/>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28.05" customHeight="1" outlineLevel="1" x14ac:dyDescent="0.25">
      <c r="A38" s="24"/>
      <c r="B38" s="24" t="s">
        <v>73</v>
      </c>
      <c r="C38" s="105" t="s">
        <v>25</v>
      </c>
      <c r="D38" s="108">
        <v>46222</v>
      </c>
      <c r="E38" s="107">
        <v>46226</v>
      </c>
      <c r="F38" s="24">
        <v>5</v>
      </c>
      <c r="G38" s="106" t="s">
        <v>22</v>
      </c>
      <c r="H38" s="97" t="s">
        <v>74</v>
      </c>
      <c r="I38" s="97">
        <v>8</v>
      </c>
      <c r="J38" s="107">
        <v>46226</v>
      </c>
      <c r="K38" s="98" t="s">
        <v>23</v>
      </c>
      <c r="L38" s="97"/>
      <c r="M38" s="102"/>
      <c r="N38" s="24"/>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8.05" customHeight="1" outlineLevel="1" x14ac:dyDescent="0.25">
      <c r="A39" s="24"/>
      <c r="B39" s="24" t="s">
        <v>75</v>
      </c>
      <c r="C39" s="105" t="s">
        <v>25</v>
      </c>
      <c r="D39" s="108">
        <v>46225</v>
      </c>
      <c r="E39" s="107">
        <v>46227</v>
      </c>
      <c r="F39" s="24">
        <v>3</v>
      </c>
      <c r="G39" s="106" t="s">
        <v>22</v>
      </c>
      <c r="H39" s="97" t="s">
        <v>76</v>
      </c>
      <c r="I39" s="97">
        <v>5</v>
      </c>
      <c r="J39" s="107">
        <v>46227</v>
      </c>
      <c r="K39" s="98" t="s">
        <v>23</v>
      </c>
      <c r="L39" s="97"/>
      <c r="M39" s="102"/>
      <c r="N39" s="24"/>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28.05" customHeight="1" outlineLevel="1" x14ac:dyDescent="0.25">
      <c r="A40" s="24" t="s">
        <v>77</v>
      </c>
      <c r="B40" s="24"/>
      <c r="C40" s="105"/>
      <c r="D40" s="105"/>
      <c r="E40" s="24"/>
      <c r="F40" s="24"/>
      <c r="G40" s="106"/>
      <c r="H40" s="97"/>
      <c r="I40" s="97"/>
      <c r="J40" s="97"/>
      <c r="K40" s="98"/>
      <c r="L40" s="97" t="s">
        <v>22</v>
      </c>
      <c r="M40" s="102">
        <v>1</v>
      </c>
      <c r="N40" s="24" t="s">
        <v>23</v>
      </c>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28.05" customHeight="1" outlineLevel="1" x14ac:dyDescent="0.25">
      <c r="A41" s="24"/>
      <c r="B41" s="24" t="s">
        <v>78</v>
      </c>
      <c r="C41" s="24" t="s">
        <v>25</v>
      </c>
      <c r="D41" s="107">
        <v>46227</v>
      </c>
      <c r="E41" s="107">
        <v>46228</v>
      </c>
      <c r="F41" s="24">
        <v>2</v>
      </c>
      <c r="G41" s="24" t="s">
        <v>22</v>
      </c>
      <c r="H41" s="97" t="s">
        <v>79</v>
      </c>
      <c r="I41" s="97">
        <v>4</v>
      </c>
      <c r="J41" s="107">
        <v>46228</v>
      </c>
      <c r="K41" s="98" t="s">
        <v>23</v>
      </c>
      <c r="L41" s="97"/>
      <c r="M41" s="98"/>
      <c r="N41" s="24"/>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28.05" customHeight="1" outlineLevel="1" x14ac:dyDescent="0.25">
      <c r="A42" s="24"/>
      <c r="B42" s="24" t="s">
        <v>80</v>
      </c>
      <c r="C42" s="105" t="s">
        <v>25</v>
      </c>
      <c r="D42" s="107">
        <v>46227</v>
      </c>
      <c r="E42" s="107">
        <v>46229</v>
      </c>
      <c r="F42" s="24">
        <v>3</v>
      </c>
      <c r="G42" s="106" t="s">
        <v>22</v>
      </c>
      <c r="H42" s="97" t="s">
        <v>81</v>
      </c>
      <c r="I42" s="97">
        <v>4</v>
      </c>
      <c r="J42" s="107">
        <v>46229</v>
      </c>
      <c r="K42" s="98" t="s">
        <v>23</v>
      </c>
      <c r="L42" s="97"/>
      <c r="M42" s="98"/>
      <c r="N42" s="24"/>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28.05" customHeight="1" outlineLevel="1" x14ac:dyDescent="0.25">
      <c r="A43" s="24"/>
      <c r="B43" s="24" t="s">
        <v>82</v>
      </c>
      <c r="C43" s="105" t="s">
        <v>25</v>
      </c>
      <c r="D43" s="108">
        <v>46228</v>
      </c>
      <c r="E43" s="107">
        <v>46230</v>
      </c>
      <c r="F43" s="24">
        <v>3</v>
      </c>
      <c r="G43" s="106" t="s">
        <v>22</v>
      </c>
      <c r="H43" s="97" t="s">
        <v>83</v>
      </c>
      <c r="I43" s="97">
        <v>5</v>
      </c>
      <c r="J43" s="107">
        <v>46230</v>
      </c>
      <c r="K43" s="98" t="s">
        <v>23</v>
      </c>
      <c r="L43" s="97"/>
      <c r="M43" s="98"/>
      <c r="N43" s="24"/>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28.05" customHeight="1" outlineLevel="1" x14ac:dyDescent="0.25">
      <c r="A44" s="24"/>
      <c r="B44" s="24" t="s">
        <v>84</v>
      </c>
      <c r="C44" s="105" t="s">
        <v>25</v>
      </c>
      <c r="D44" s="108">
        <v>46229</v>
      </c>
      <c r="E44" s="107">
        <v>46231</v>
      </c>
      <c r="F44" s="24">
        <v>3</v>
      </c>
      <c r="G44" s="106" t="s">
        <v>22</v>
      </c>
      <c r="H44" s="97" t="s">
        <v>85</v>
      </c>
      <c r="I44" s="97">
        <v>4</v>
      </c>
      <c r="J44" s="107">
        <v>46231</v>
      </c>
      <c r="K44" s="98" t="s">
        <v>23</v>
      </c>
      <c r="L44" s="97"/>
      <c r="M44" s="102"/>
      <c r="N44" s="24"/>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28.05" customHeight="1" outlineLevel="1" x14ac:dyDescent="0.25">
      <c r="A45" s="24"/>
      <c r="B45" s="24" t="s">
        <v>86</v>
      </c>
      <c r="C45" s="105" t="s">
        <v>25</v>
      </c>
      <c r="D45" s="108">
        <v>46230</v>
      </c>
      <c r="E45" s="107">
        <v>46232</v>
      </c>
      <c r="F45" s="24">
        <v>3</v>
      </c>
      <c r="G45" s="106" t="s">
        <v>22</v>
      </c>
      <c r="H45" s="97" t="s">
        <v>72</v>
      </c>
      <c r="I45" s="97">
        <v>5</v>
      </c>
      <c r="J45" s="107">
        <v>46232</v>
      </c>
      <c r="K45" s="98" t="s">
        <v>23</v>
      </c>
      <c r="L45" s="97"/>
      <c r="M45" s="98"/>
      <c r="N45" s="24"/>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28.05" customHeight="1" outlineLevel="1" x14ac:dyDescent="0.25">
      <c r="A46" s="24"/>
      <c r="B46" s="24" t="s">
        <v>87</v>
      </c>
      <c r="C46" s="24" t="s">
        <v>25</v>
      </c>
      <c r="D46" s="107">
        <v>46231</v>
      </c>
      <c r="E46" s="107">
        <v>46233</v>
      </c>
      <c r="F46" s="24">
        <v>3</v>
      </c>
      <c r="G46" s="24" t="s">
        <v>22</v>
      </c>
      <c r="H46" s="97" t="s">
        <v>85</v>
      </c>
      <c r="I46" s="97">
        <v>5</v>
      </c>
      <c r="J46" s="107">
        <v>46233</v>
      </c>
      <c r="K46" s="98" t="s">
        <v>23</v>
      </c>
      <c r="L46" s="97"/>
      <c r="M46" s="98"/>
      <c r="N46" s="24"/>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8.05" customHeight="1" outlineLevel="1" x14ac:dyDescent="0.25">
      <c r="A47" s="24"/>
      <c r="B47" s="24" t="s">
        <v>88</v>
      </c>
      <c r="C47" s="105" t="s">
        <v>25</v>
      </c>
      <c r="D47" s="107">
        <v>46232</v>
      </c>
      <c r="E47" s="107">
        <v>46234</v>
      </c>
      <c r="F47" s="24">
        <v>3</v>
      </c>
      <c r="G47" s="106" t="s">
        <v>22</v>
      </c>
      <c r="H47" s="97" t="s">
        <v>89</v>
      </c>
      <c r="I47" s="97">
        <v>7</v>
      </c>
      <c r="J47" s="107">
        <v>46234</v>
      </c>
      <c r="K47" s="98" t="s">
        <v>23</v>
      </c>
      <c r="L47" s="97"/>
      <c r="M47" s="98"/>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28.05" customHeight="1" outlineLevel="1" x14ac:dyDescent="0.25">
      <c r="A48" s="24"/>
      <c r="B48" s="24" t="s">
        <v>90</v>
      </c>
      <c r="C48" s="24" t="s">
        <v>25</v>
      </c>
      <c r="D48" s="107">
        <v>46233</v>
      </c>
      <c r="E48" s="107">
        <v>46234</v>
      </c>
      <c r="F48" s="24">
        <v>2</v>
      </c>
      <c r="G48" s="24" t="s">
        <v>22</v>
      </c>
      <c r="H48" s="97" t="s">
        <v>91</v>
      </c>
      <c r="I48" s="97">
        <v>4</v>
      </c>
      <c r="J48" s="107">
        <v>46234</v>
      </c>
      <c r="K48" s="98" t="s">
        <v>23</v>
      </c>
      <c r="L48" s="97"/>
      <c r="M48" s="98"/>
      <c r="N48" s="24"/>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28.05" customHeight="1" outlineLevel="1" x14ac:dyDescent="0.25">
      <c r="A49" s="24" t="s">
        <v>92</v>
      </c>
      <c r="B49" s="24"/>
      <c r="C49" s="105"/>
      <c r="D49" s="24"/>
      <c r="E49" s="24"/>
      <c r="F49" s="24"/>
      <c r="G49" s="106"/>
      <c r="H49" s="97"/>
      <c r="I49" s="97"/>
      <c r="J49" s="97"/>
      <c r="K49" s="98"/>
      <c r="L49" s="97" t="s">
        <v>22</v>
      </c>
      <c r="M49" s="102">
        <v>1</v>
      </c>
      <c r="N49" s="24" t="s">
        <v>23</v>
      </c>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28.05" customHeight="1" outlineLevel="1" x14ac:dyDescent="0.25">
      <c r="A50" s="24"/>
      <c r="B50" s="24" t="s">
        <v>93</v>
      </c>
      <c r="C50" s="105" t="s">
        <v>25</v>
      </c>
      <c r="D50" s="107">
        <v>46235</v>
      </c>
      <c r="E50" s="107">
        <v>46236</v>
      </c>
      <c r="F50" s="24">
        <v>2</v>
      </c>
      <c r="G50" s="106" t="s">
        <v>22</v>
      </c>
      <c r="H50" s="97" t="s">
        <v>94</v>
      </c>
      <c r="I50" s="97">
        <v>4</v>
      </c>
      <c r="J50" s="107">
        <v>46236</v>
      </c>
      <c r="K50" s="98" t="s">
        <v>23</v>
      </c>
      <c r="L50" s="97"/>
      <c r="M50" s="98"/>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45" customFormat="1" ht="28.05" customHeight="1" x14ac:dyDescent="0.25">
      <c r="A51" s="109"/>
      <c r="B51" s="42" t="s">
        <v>95</v>
      </c>
      <c r="C51" s="42" t="s">
        <v>25</v>
      </c>
      <c r="D51" s="110">
        <v>46236</v>
      </c>
      <c r="E51" s="110">
        <v>46238</v>
      </c>
      <c r="F51" s="42">
        <v>3</v>
      </c>
      <c r="G51" s="42" t="s">
        <v>22</v>
      </c>
      <c r="H51" s="88" t="s">
        <v>96</v>
      </c>
      <c r="I51" s="88">
        <v>5</v>
      </c>
      <c r="J51" s="110">
        <v>46238</v>
      </c>
      <c r="K51" s="89" t="s">
        <v>23</v>
      </c>
      <c r="L51" s="88"/>
      <c r="M51" s="89"/>
      <c r="N51" s="42"/>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row>
    <row r="52" spans="1:78" ht="28.05" customHeight="1" outlineLevel="1" x14ac:dyDescent="0.25">
      <c r="A52" s="111"/>
      <c r="B52" s="24" t="s">
        <v>97</v>
      </c>
      <c r="C52" s="24" t="s">
        <v>25</v>
      </c>
      <c r="D52" s="107">
        <v>46238</v>
      </c>
      <c r="E52" s="107">
        <v>46241</v>
      </c>
      <c r="F52" s="24">
        <v>4</v>
      </c>
      <c r="G52" s="24" t="s">
        <v>22</v>
      </c>
      <c r="H52" s="97" t="s">
        <v>98</v>
      </c>
      <c r="I52" s="97">
        <v>6</v>
      </c>
      <c r="J52" s="107">
        <v>46241</v>
      </c>
      <c r="K52" s="98" t="s">
        <v>23</v>
      </c>
      <c r="L52" s="97"/>
      <c r="M52" s="98"/>
      <c r="N52" s="24"/>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28.05" customHeight="1" outlineLevel="1" x14ac:dyDescent="0.25">
      <c r="A53" s="111" t="s">
        <v>99</v>
      </c>
      <c r="B53" s="24"/>
      <c r="C53" s="105"/>
      <c r="D53" s="24"/>
      <c r="E53" s="24"/>
      <c r="F53" s="24"/>
      <c r="G53" s="106"/>
      <c r="H53" s="97"/>
      <c r="I53" s="97"/>
      <c r="J53" s="97"/>
      <c r="K53" s="98"/>
      <c r="L53" s="97" t="s">
        <v>22</v>
      </c>
      <c r="M53" s="102">
        <v>1</v>
      </c>
      <c r="N53" s="24" t="s">
        <v>23</v>
      </c>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28.05" customHeight="1" outlineLevel="1" x14ac:dyDescent="0.25">
      <c r="A54" s="111"/>
      <c r="B54" s="24" t="s">
        <v>100</v>
      </c>
      <c r="C54" s="105" t="s">
        <v>25</v>
      </c>
      <c r="D54" s="108">
        <v>46185</v>
      </c>
      <c r="E54" s="107">
        <v>46241</v>
      </c>
      <c r="F54" s="24">
        <v>57</v>
      </c>
      <c r="G54" s="106" t="s">
        <v>22</v>
      </c>
      <c r="H54" s="97"/>
      <c r="I54" s="97">
        <v>10</v>
      </c>
      <c r="J54" s="107">
        <v>46241</v>
      </c>
      <c r="K54" s="98" t="s">
        <v>23</v>
      </c>
      <c r="L54" s="97"/>
      <c r="M54" s="102"/>
      <c r="N54" s="24"/>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28.05" customHeight="1" outlineLevel="1" x14ac:dyDescent="0.25">
      <c r="A55" s="111"/>
      <c r="B55" s="24" t="s">
        <v>101</v>
      </c>
      <c r="C55" s="105" t="s">
        <v>25</v>
      </c>
      <c r="D55" s="108">
        <v>46239</v>
      </c>
      <c r="E55" s="107">
        <v>46242</v>
      </c>
      <c r="F55" s="24">
        <v>4</v>
      </c>
      <c r="G55" s="106" t="s">
        <v>22</v>
      </c>
      <c r="H55" s="97" t="s">
        <v>102</v>
      </c>
      <c r="I55" s="97">
        <v>5</v>
      </c>
      <c r="J55" s="107">
        <v>46242</v>
      </c>
      <c r="K55" s="98" t="s">
        <v>23</v>
      </c>
      <c r="L55" s="97"/>
      <c r="M55" s="102"/>
      <c r="N55" s="24"/>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28.05" customHeight="1" outlineLevel="1" x14ac:dyDescent="0.25">
      <c r="A56" s="111"/>
      <c r="B56" s="24" t="s">
        <v>103</v>
      </c>
      <c r="C56" s="105" t="s">
        <v>25</v>
      </c>
      <c r="D56" s="108">
        <v>46240</v>
      </c>
      <c r="E56" s="107">
        <v>46244</v>
      </c>
      <c r="F56" s="24">
        <v>5</v>
      </c>
      <c r="G56" s="106" t="s">
        <v>22</v>
      </c>
      <c r="H56" s="97" t="s">
        <v>102</v>
      </c>
      <c r="I56" s="97">
        <v>8</v>
      </c>
      <c r="J56" s="107">
        <v>46244</v>
      </c>
      <c r="K56" s="98" t="s">
        <v>23</v>
      </c>
      <c r="L56" s="97"/>
      <c r="M56" s="102"/>
      <c r="N56" s="24"/>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28.05" customHeight="1" outlineLevel="1" x14ac:dyDescent="0.25">
      <c r="A57" s="111" t="s">
        <v>104</v>
      </c>
      <c r="B57" s="24"/>
      <c r="C57" s="24"/>
      <c r="D57" s="24"/>
      <c r="E57" s="24"/>
      <c r="F57" s="24"/>
      <c r="G57" s="24"/>
      <c r="H57" s="97"/>
      <c r="I57" s="97"/>
      <c r="J57" s="97"/>
      <c r="K57" s="98"/>
      <c r="L57" s="97" t="s">
        <v>22</v>
      </c>
      <c r="M57" s="98">
        <v>1</v>
      </c>
      <c r="N57" s="24" t="s">
        <v>23</v>
      </c>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8.05" customHeight="1" outlineLevel="1" x14ac:dyDescent="0.25">
      <c r="A58" s="111"/>
      <c r="B58" s="24" t="s">
        <v>105</v>
      </c>
      <c r="C58" s="105" t="s">
        <v>25</v>
      </c>
      <c r="D58" s="107">
        <v>46242</v>
      </c>
      <c r="E58" s="107">
        <v>46244</v>
      </c>
      <c r="F58" s="24">
        <v>3</v>
      </c>
      <c r="G58" s="106" t="s">
        <v>22</v>
      </c>
      <c r="H58" s="97" t="s">
        <v>106</v>
      </c>
      <c r="I58" s="97">
        <v>5</v>
      </c>
      <c r="J58" s="107">
        <v>46244</v>
      </c>
      <c r="K58" s="98" t="s">
        <v>23</v>
      </c>
      <c r="L58" s="97"/>
      <c r="M58" s="98"/>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05" customHeight="1" outlineLevel="1" x14ac:dyDescent="0.25">
      <c r="A59" s="111"/>
      <c r="B59" s="24" t="s">
        <v>107</v>
      </c>
      <c r="C59" s="105" t="s">
        <v>25</v>
      </c>
      <c r="D59" s="108">
        <v>46243</v>
      </c>
      <c r="E59" s="107">
        <v>46245</v>
      </c>
      <c r="F59" s="24">
        <v>3</v>
      </c>
      <c r="G59" s="106" t="s">
        <v>22</v>
      </c>
      <c r="H59" s="97" t="s">
        <v>108</v>
      </c>
      <c r="I59" s="97">
        <v>5</v>
      </c>
      <c r="J59" s="107">
        <v>46245</v>
      </c>
      <c r="K59" s="98" t="s">
        <v>23</v>
      </c>
      <c r="L59" s="97"/>
      <c r="M59" s="98"/>
      <c r="N59" s="24"/>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8.05" customHeight="1" outlineLevel="1" x14ac:dyDescent="0.25">
      <c r="A60" s="111"/>
      <c r="B60" s="24" t="s">
        <v>109</v>
      </c>
      <c r="C60" s="105" t="s">
        <v>25</v>
      </c>
      <c r="D60" s="108">
        <v>46246</v>
      </c>
      <c r="E60" s="107">
        <v>46256</v>
      </c>
      <c r="F60" s="24">
        <v>1</v>
      </c>
      <c r="G60" s="106" t="s">
        <v>22</v>
      </c>
      <c r="H60" s="97" t="s">
        <v>110</v>
      </c>
      <c r="I60" s="97">
        <v>3</v>
      </c>
      <c r="J60" s="107">
        <v>46256</v>
      </c>
      <c r="K60" s="98" t="s">
        <v>23</v>
      </c>
      <c r="L60" s="97"/>
      <c r="M60" s="98"/>
      <c r="N60" s="24"/>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5" customHeight="1" outlineLevel="1" x14ac:dyDescent="0.3">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5" customHeight="1" outlineLevel="1" x14ac:dyDescent="0.3">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5" customHeight="1" outlineLevel="1" x14ac:dyDescent="0.3">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5" customHeight="1" outlineLevel="1" x14ac:dyDescent="0.3">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3">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3">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3">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 customHeight="1" outlineLevel="1" x14ac:dyDescent="0.3">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3">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 customHeight="1" outlineLevel="1" x14ac:dyDescent="0.3">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3">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 customHeight="1" outlineLevel="1" x14ac:dyDescent="0.3">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3">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 customHeight="1" outlineLevel="1" x14ac:dyDescent="0.3">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 customHeight="1" outlineLevel="1" x14ac:dyDescent="0.3">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 customHeight="1" outlineLevel="1" x14ac:dyDescent="0.3">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 customHeight="1" outlineLevel="1" x14ac:dyDescent="0.3">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 customHeight="1" outlineLevel="1" x14ac:dyDescent="0.3">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 customHeight="1" outlineLevel="1" x14ac:dyDescent="0.3">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45" customFormat="1" ht="15" customHeight="1" x14ac:dyDescent="0.3">
      <c r="A80" s="46"/>
      <c r="B80" s="47"/>
      <c r="C80" s="44"/>
      <c r="D80" s="44"/>
      <c r="E80" s="44"/>
      <c r="F80" s="44"/>
      <c r="G80" s="44"/>
      <c r="H80" s="40"/>
      <c r="I80" s="40"/>
      <c r="J80" s="48"/>
      <c r="K80" s="49"/>
      <c r="L80" s="40"/>
      <c r="M80" s="41"/>
      <c r="N80" s="44"/>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row>
    <row r="81" spans="1:78" ht="15" customHeight="1" outlineLevel="1" x14ac:dyDescent="0.3">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 customHeight="1" outlineLevel="1" x14ac:dyDescent="0.3">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5" customHeight="1" outlineLevel="1" x14ac:dyDescent="0.3">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5" customHeight="1" outlineLevel="1" x14ac:dyDescent="0.3">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5" customHeight="1" outlineLevel="1" x14ac:dyDescent="0.3">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5" customHeight="1" outlineLevel="1" x14ac:dyDescent="0.3">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5" customHeight="1" outlineLevel="1" x14ac:dyDescent="0.3">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5" customHeight="1" outlineLevel="1" x14ac:dyDescent="0.3">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5" customHeight="1" outlineLevel="1" x14ac:dyDescent="0.3">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5" customHeight="1" outlineLevel="1" x14ac:dyDescent="0.3">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5" customHeight="1" outlineLevel="1" x14ac:dyDescent="0.3">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5" customHeight="1" outlineLevel="1" x14ac:dyDescent="0.3">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45" customFormat="1" ht="15" customHeight="1" x14ac:dyDescent="0.3">
      <c r="A93" s="46"/>
      <c r="B93" s="47"/>
      <c r="C93" s="44"/>
      <c r="D93" s="44"/>
      <c r="E93" s="44"/>
      <c r="F93" s="44"/>
      <c r="G93" s="44"/>
      <c r="H93" s="40"/>
      <c r="I93" s="40"/>
      <c r="J93" s="48"/>
      <c r="K93" s="49"/>
      <c r="L93" s="40"/>
      <c r="M93" s="41"/>
      <c r="N93" s="44"/>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row>
    <row r="94" spans="1:78" ht="15" hidden="1" customHeight="1" outlineLevel="1" x14ac:dyDescent="0.3">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5" hidden="1" customHeight="1" outlineLevel="1" x14ac:dyDescent="0.3">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5" hidden="1" customHeight="1" outlineLevel="1" x14ac:dyDescent="0.3">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5" hidden="1" customHeight="1" outlineLevel="1" x14ac:dyDescent="0.3">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5" hidden="1" customHeight="1" outlineLevel="1" x14ac:dyDescent="0.3">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5" hidden="1" customHeight="1" outlineLevel="1" x14ac:dyDescent="0.3">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5" hidden="1" customHeight="1" outlineLevel="1" x14ac:dyDescent="0.3">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5" hidden="1" customHeight="1" outlineLevel="1" x14ac:dyDescent="0.3">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5" hidden="1" customHeight="1" outlineLevel="1" x14ac:dyDescent="0.3">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5" hidden="1" customHeight="1" outlineLevel="1" x14ac:dyDescent="0.3">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5" hidden="1" customHeight="1" outlineLevel="1" x14ac:dyDescent="0.3">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5" hidden="1" customHeight="1" outlineLevel="1" x14ac:dyDescent="0.3">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5" hidden="1" customHeight="1" outlineLevel="1" x14ac:dyDescent="0.3">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45" customFormat="1" ht="15" customHeight="1" collapsed="1" x14ac:dyDescent="0.3">
      <c r="A108" s="46"/>
      <c r="B108" s="47"/>
      <c r="C108" s="44"/>
      <c r="D108" s="44"/>
      <c r="E108" s="44"/>
      <c r="F108" s="44"/>
      <c r="G108" s="44"/>
      <c r="H108" s="40"/>
      <c r="I108" s="40"/>
      <c r="J108" s="48"/>
      <c r="K108" s="49"/>
      <c r="L108" s="40"/>
      <c r="M108" s="41"/>
      <c r="N108" s="44"/>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row>
    <row r="109" spans="1:78" ht="15" hidden="1" customHeight="1" outlineLevel="1" x14ac:dyDescent="0.3">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5" hidden="1" customHeight="1" outlineLevel="1" x14ac:dyDescent="0.3">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5" hidden="1" customHeight="1" outlineLevel="1" x14ac:dyDescent="0.3">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5" hidden="1" customHeight="1" outlineLevel="1" x14ac:dyDescent="0.3">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45" customFormat="1" ht="15" customHeight="1" collapsed="1" x14ac:dyDescent="0.3">
      <c r="A113" s="50"/>
      <c r="B113" s="47"/>
      <c r="C113" s="44"/>
      <c r="D113" s="44"/>
      <c r="E113" s="44"/>
      <c r="F113" s="44"/>
      <c r="G113" s="44"/>
      <c r="H113" s="40"/>
      <c r="I113" s="40"/>
      <c r="J113" s="48"/>
      <c r="K113" s="49"/>
      <c r="L113" s="40"/>
      <c r="M113" s="41"/>
      <c r="N113" s="44"/>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row>
    <row r="114" spans="1:78" ht="15" hidden="1" customHeight="1" outlineLevel="1" x14ac:dyDescent="0.3">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5" hidden="1" customHeight="1" outlineLevel="1" x14ac:dyDescent="0.3">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5" hidden="1" customHeight="1" outlineLevel="1" x14ac:dyDescent="0.3">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5" hidden="1" customHeight="1" outlineLevel="1" x14ac:dyDescent="0.3">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5" hidden="1" customHeight="1" outlineLevel="1" x14ac:dyDescent="0.3">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5" hidden="1" customHeight="1" outlineLevel="1" x14ac:dyDescent="0.3">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5" hidden="1" customHeight="1" outlineLevel="1" x14ac:dyDescent="0.3">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5" hidden="1" customHeight="1" outlineLevel="1" x14ac:dyDescent="0.3">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5" hidden="1" customHeight="1" outlineLevel="1" x14ac:dyDescent="0.3">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5" hidden="1" customHeight="1" outlineLevel="1" x14ac:dyDescent="0.3">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5" hidden="1" customHeight="1" outlineLevel="1" x14ac:dyDescent="0.3">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5" hidden="1" customHeight="1" outlineLevel="1" x14ac:dyDescent="0.3">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5" hidden="1" customHeight="1" outlineLevel="1" x14ac:dyDescent="0.3">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5" hidden="1" customHeight="1" outlineLevel="1" x14ac:dyDescent="0.3">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5" hidden="1" customHeight="1" outlineLevel="1" x14ac:dyDescent="0.3">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5" hidden="1" customHeight="1" outlineLevel="1" x14ac:dyDescent="0.3">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5" hidden="1" customHeight="1" outlineLevel="1" x14ac:dyDescent="0.3">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5" hidden="1" customHeight="1" outlineLevel="1" x14ac:dyDescent="0.3">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5" customHeight="1" collapsed="1" x14ac:dyDescent="0.3">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ht="15" customHeight="1"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ht="15" customHeight="1"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ht="15" customHeight="1"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ht="15" customHeight="1"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ht="15" customHeight="1"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ht="15" customHeight="1"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ht="15" customHeight="1"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ht="15" customHeight="1"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ht="15" customHeight="1"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ht="15" customHeight="1"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ht="15" customHeight="1"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ht="15" customHeight="1"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ht="15" customHeight="1"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ht="15" customHeight="1"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ht="15" customHeight="1"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ht="15" customHeight="1"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ht="15" customHeight="1"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ht="15" customHeight="1"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ht="15" customHeight="1"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ht="15" customHeight="1"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ht="15" customHeight="1"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ht="15" customHeight="1"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ht="15" customHeight="1"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ht="15" customHeight="1"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ht="15" customHeight="1"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ht="15" customHeight="1"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ht="15" customHeight="1"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ht="15" customHeight="1"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ht="15" customHeight="1"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ht="15" customHeight="1"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ht="15" customHeight="1"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ht="15" customHeight="1"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ht="15" customHeight="1"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ht="15" customHeight="1"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ht="15" customHeight="1"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ht="15" customHeight="1"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ht="15" customHeight="1"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ht="15" customHeight="1"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ht="15" customHeight="1"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ht="15" customHeight="1"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ht="15" customHeight="1"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ht="15" customHeight="1"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ht="15" customHeight="1"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ht="15" customHeight="1"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ht="15" customHeight="1"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ht="15" customHeight="1"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ht="15" customHeight="1"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ht="15" customHeight="1"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ht="15" customHeight="1"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ht="15" customHeight="1"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ht="15" customHeight="1"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ht="15" customHeight="1"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ht="15" customHeight="1"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ht="15" customHeight="1"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ht="15" customHeight="1"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ht="15" customHeight="1"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ht="15" customHeight="1"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ht="15" customHeight="1"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ht="15" customHeight="1"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ht="15" customHeight="1"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ht="15" customHeight="1"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ht="15" customHeight="1"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ht="15" customHeight="1"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ht="15" customHeight="1"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ht="15" customHeight="1"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ht="15" customHeight="1"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ht="15" customHeight="1"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ht="15" customHeight="1"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ht="15" customHeight="1"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ht="15" customHeight="1"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ht="15" customHeight="1"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ht="15" customHeight="1"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ht="15" customHeight="1"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ht="15" customHeight="1"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ht="15" customHeight="1"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ht="15" customHeight="1"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ht="15" customHeight="1"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ht="15" customHeight="1"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ht="15" customHeight="1"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ht="15" customHeight="1"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ht="15" customHeight="1"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ht="15" customHeight="1"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ht="15" customHeight="1"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ht="15" customHeight="1"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ht="15" customHeight="1"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ht="15" customHeight="1"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ht="15" customHeight="1"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ht="15" customHeight="1"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ht="15" customHeight="1"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ht="15" customHeight="1"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ht="15" customHeight="1"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ht="15" customHeight="1"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ht="15" customHeight="1"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ht="15" customHeight="1"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ht="15" customHeight="1"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ht="15" customHeight="1"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ht="15" customHeight="1"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ht="15" customHeight="1"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ht="15" customHeight="1"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ht="15" customHeight="1"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ht="15" customHeight="1"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ht="15" customHeight="1"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ht="15" customHeight="1"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ht="15" customHeight="1"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ht="15" customHeight="1"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ht="15" customHeight="1"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ht="15" customHeight="1"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ht="15" customHeight="1"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ht="15" customHeight="1"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ht="15" customHeight="1"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ht="15" customHeight="1"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ht="15" customHeight="1"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ht="15" customHeight="1"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ht="15" customHeight="1"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ht="15" customHeight="1"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ht="15" customHeight="1"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ht="15" customHeight="1"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ht="15" customHeight="1"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ht="15" customHeight="1"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ht="15" customHeight="1"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ht="15" customHeight="1"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ht="15" customHeight="1"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ht="15" customHeight="1"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ht="15" customHeight="1"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ht="15" customHeight="1"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ht="15" customHeight="1"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ht="15" customHeight="1"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ht="15" customHeight="1"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ht="15" customHeight="1"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ht="15" customHeight="1"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ht="15" customHeight="1"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ht="15" customHeight="1"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ht="15" customHeight="1"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ht="15" customHeight="1"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ht="15" customHeight="1"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ht="15" customHeight="1"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ht="15" customHeight="1"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ht="15" customHeight="1"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ht="15" customHeight="1"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ht="15" customHeight="1"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ht="15" customHeight="1"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ht="15" customHeight="1"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ht="15" customHeight="1"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ht="15" customHeight="1"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ht="15" customHeight="1"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ht="15" customHeight="1"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ht="15" customHeight="1"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ht="15" customHeight="1"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ht="15" customHeight="1"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ht="15" customHeight="1"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ht="15" customHeight="1"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ht="15" customHeight="1"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ht="15" customHeight="1"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ht="15" customHeight="1"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ht="15" customHeight="1"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ht="15" customHeight="1"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ht="15" customHeight="1"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ht="15" customHeight="1"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ht="15" customHeight="1"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ht="15" customHeight="1"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ht="15" customHeight="1"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ht="15" customHeight="1"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ht="15" customHeight="1"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ht="15" customHeight="1"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ht="15" customHeight="1"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ht="15" customHeight="1"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ht="15" customHeight="1"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ht="15" customHeight="1"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ht="15" customHeight="1"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ht="15" customHeight="1"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ht="15" customHeight="1"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ht="15" customHeight="1"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ht="15" customHeight="1"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ht="15" customHeight="1"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ht="15" customHeight="1"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ht="15" customHeight="1"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ht="15" customHeight="1"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ht="15" customHeight="1"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ht="15" customHeight="1"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ht="15" customHeight="1"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ht="15" customHeight="1"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ht="15" customHeight="1"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ht="15" customHeight="1"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ht="15" customHeight="1"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ht="15" customHeight="1"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ht="15" customHeight="1"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ht="15" customHeight="1"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ht="15" customHeight="1"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ht="15" customHeight="1"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ht="15" customHeight="1"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ht="15" customHeight="1"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ht="15" customHeight="1"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ht="15" customHeight="1"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ht="15" customHeight="1"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ht="15" customHeight="1"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ht="15" customHeight="1"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ht="15" customHeight="1"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ht="15" customHeight="1"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ht="15" customHeight="1"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ht="15" customHeight="1"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ht="15" customHeight="1"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ht="15" customHeight="1"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ht="15" customHeight="1"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ht="15" customHeight="1"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ht="15" customHeight="1"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ht="15" customHeight="1"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ht="15" customHeight="1"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ht="15" customHeight="1"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ht="15" customHeight="1"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ht="15" customHeight="1"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ht="15" customHeight="1"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ht="15" customHeight="1"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ht="15" customHeight="1"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ht="15" customHeight="1"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ht="15" customHeight="1"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ht="15" customHeight="1"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ht="15" customHeight="1"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ht="15" customHeight="1"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ht="15" customHeight="1"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ht="15" customHeight="1"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ht="15" customHeight="1"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ht="15" customHeight="1"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ht="15" customHeight="1"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ht="15" customHeight="1"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ht="15" customHeight="1"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ht="15" customHeight="1"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ht="15" customHeight="1"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ht="15" customHeight="1"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ht="15" customHeight="1"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ht="15" customHeight="1"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ht="15" customHeight="1"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ht="15" customHeight="1"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ht="15" customHeight="1"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ht="15" customHeight="1"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ht="15" customHeight="1"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ht="15" customHeight="1"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ht="15" customHeight="1"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ht="15" customHeight="1"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ht="15" customHeight="1"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ht="15" customHeight="1"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ht="15" customHeight="1"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ht="15" customHeight="1"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ht="15" customHeight="1"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ht="15" customHeight="1"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ht="15" customHeight="1"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ht="15" customHeight="1"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ht="15" customHeight="1"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ht="15" customHeight="1"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ht="15" customHeight="1"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ht="15" customHeight="1"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ht="15" customHeight="1"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ht="15" customHeight="1"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ht="15" customHeight="1"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ht="15" customHeight="1"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ht="15" customHeight="1"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ht="15" customHeight="1"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ht="15" customHeight="1"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ht="15" customHeight="1"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ht="15" customHeight="1"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ht="15" customHeight="1"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ht="15" customHeight="1"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ht="15" customHeight="1"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ht="15" customHeight="1"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ht="15" customHeight="1"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ht="15" customHeight="1"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ht="15" customHeight="1"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ht="15" customHeight="1"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ht="15" customHeight="1"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ht="15" customHeight="1"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ht="15" customHeight="1"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ht="15" customHeight="1"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ht="15" customHeight="1"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ht="15" customHeight="1"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ht="15" customHeight="1"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ht="15" customHeight="1"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ht="15" customHeight="1"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ht="15" customHeight="1"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ht="15" customHeight="1"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ht="15" customHeight="1"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ht="15" customHeight="1"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ht="15" customHeight="1"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ht="15" customHeight="1"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ht="15" customHeight="1"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ht="15" customHeight="1"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ht="15" customHeight="1"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ht="15" customHeight="1"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ht="15" customHeight="1"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ht="15" customHeight="1"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ht="15" customHeight="1"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ht="15" customHeight="1"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ht="15" customHeight="1"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ht="15" customHeight="1"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ht="15" customHeight="1"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ht="15" customHeight="1"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ht="15" customHeight="1"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ht="15" customHeight="1"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ht="15" customHeight="1"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ht="15" customHeight="1"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ht="15" customHeight="1"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ht="15" customHeight="1"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ht="15" customHeight="1"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ht="15" customHeight="1"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ht="15" customHeight="1"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ht="15" customHeight="1"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ht="15" customHeight="1"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ht="15" customHeight="1"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ht="15" customHeight="1"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ht="15" customHeight="1"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ht="15" customHeight="1"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ht="15" customHeight="1"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ht="15" customHeight="1"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ht="15" customHeight="1"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ht="15" customHeight="1"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ht="15" customHeight="1"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ht="15" customHeight="1"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ht="15" customHeight="1"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ht="15" customHeight="1"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ht="15" customHeight="1"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ht="15" customHeight="1"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ht="15" customHeight="1"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ht="15" customHeight="1"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ht="15" customHeight="1"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ht="15" customHeight="1"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ht="15" customHeight="1"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ht="15" customHeight="1"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ht="15" customHeight="1"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ht="15" customHeight="1"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ht="15" customHeight="1"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ht="15" customHeight="1"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ht="15" customHeight="1"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ht="15" customHeight="1"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ht="15" customHeight="1"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ht="15" customHeight="1"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ht="15" customHeight="1"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ht="15" customHeight="1"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ht="15" customHeight="1"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ht="15" customHeight="1"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ht="15" customHeight="1"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ht="15" customHeight="1"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ht="15" customHeight="1"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ht="15" customHeight="1"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ht="15" customHeight="1"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ht="15" customHeight="1"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ht="15" customHeight="1"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ht="15" customHeight="1"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ht="15" customHeight="1"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ht="15" customHeight="1"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ht="15" customHeight="1"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ht="15" customHeight="1"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ht="15" customHeight="1"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ht="15" customHeight="1"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ht="15" customHeight="1"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ht="15" customHeight="1"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ht="15" customHeight="1"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ht="15" customHeight="1"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ht="15" customHeight="1"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ht="15" customHeight="1"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ht="15" customHeight="1"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ht="15" customHeight="1"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ht="15" customHeight="1"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ht="15" customHeight="1"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ht="15" customHeight="1"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ht="15" customHeight="1"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ht="15" customHeight="1"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ht="15" customHeight="1"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ht="15" customHeight="1"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ht="15" customHeight="1"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ht="15" customHeight="1"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ht="15" customHeight="1"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ht="15" customHeight="1"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ht="15" customHeight="1"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ht="15" customHeight="1"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ht="15" customHeight="1"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ht="15" customHeight="1"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ht="15" customHeight="1"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ht="15" customHeight="1"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ht="15" customHeight="1"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ht="15" customHeight="1"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ht="15" customHeight="1"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ht="15" customHeight="1"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ht="15" customHeight="1"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ht="15" customHeight="1"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ht="15" customHeight="1"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ht="15" customHeight="1"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ht="15" customHeight="1"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ht="15" customHeight="1"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ht="15" customHeight="1"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ht="15" customHeight="1"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ht="15" customHeight="1"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ht="15" customHeight="1"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ht="15" customHeight="1"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ht="15" customHeight="1"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ht="15" customHeight="1"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ht="15" customHeight="1"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ht="15" customHeight="1"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ht="15" customHeight="1"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ht="15" customHeight="1"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ht="15" customHeight="1"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ht="15" customHeight="1"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ht="15" customHeight="1"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ht="15" customHeight="1"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ht="15" customHeight="1"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ht="15" customHeight="1"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ht="15" customHeight="1"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ht="15" customHeight="1"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ht="15" customHeight="1"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ht="15" customHeight="1"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ht="15" customHeight="1"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ht="15" customHeight="1"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ht="15" customHeight="1"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ht="15" customHeight="1"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ht="15" customHeight="1"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ht="15" customHeight="1"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ht="15" customHeight="1"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ht="15" customHeight="1"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ht="15" customHeight="1"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ht="15" customHeight="1"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ht="15" customHeight="1"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ht="15" customHeight="1"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ht="15" customHeight="1"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ht="15" customHeight="1"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ht="15" customHeight="1"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ht="15" customHeight="1"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ht="15" customHeight="1"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ht="15" customHeight="1"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ht="15" customHeight="1"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ht="15" customHeight="1"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ht="15" customHeight="1"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ht="15" customHeight="1"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ht="15" customHeight="1"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ht="15" customHeight="1"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ht="15" customHeight="1"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ht="15" customHeight="1"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ht="15" customHeight="1"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ht="15" customHeight="1"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ht="15" customHeight="1"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ht="15" customHeight="1"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ht="15" customHeight="1"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ht="15" customHeight="1"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ht="15" customHeight="1"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ht="15" customHeight="1"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ht="15" customHeight="1"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ht="15" customHeight="1"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ht="15" customHeight="1"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ht="15" customHeight="1"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ht="15" customHeight="1"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ht="15" customHeight="1"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ht="15" customHeight="1"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ht="15" customHeight="1"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ht="15" customHeight="1"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ht="15" customHeight="1"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ht="15" customHeight="1"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ht="15" customHeight="1"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ht="15" customHeight="1"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ht="15" customHeight="1"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ht="15" customHeight="1"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ht="15" customHeight="1"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ht="15" customHeight="1"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ht="15" customHeight="1"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ht="15" customHeight="1"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ht="15" customHeight="1"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ht="15" customHeight="1"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ht="15" customHeight="1"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ht="15" customHeight="1"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ht="15" customHeight="1"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ht="15" customHeight="1"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ht="15" customHeight="1"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ht="15" customHeight="1"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ht="15" customHeight="1"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ht="15" customHeight="1"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ht="15" customHeight="1"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ht="15" customHeight="1"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ht="15" customHeight="1"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ht="15" customHeight="1"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ht="15" customHeight="1"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ht="15" customHeight="1"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ht="15" customHeight="1"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ht="15" customHeight="1"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ht="15" customHeight="1"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ht="15" customHeight="1"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ht="15" customHeight="1"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ht="15" customHeight="1"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ht="15" customHeight="1"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ht="15" customHeight="1"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ht="15" customHeight="1"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ht="15" customHeight="1"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ht="15" customHeight="1"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ht="15" customHeight="1"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ht="15" customHeight="1"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ht="15" customHeight="1"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ht="15" customHeight="1"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ht="15" customHeight="1"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ht="15" customHeight="1"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ht="15" customHeight="1"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ht="15" customHeight="1"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ht="15" customHeight="1"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ht="15" customHeight="1"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ht="15" customHeight="1"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ht="15" customHeight="1"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ht="15" customHeight="1"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ht="15" customHeight="1"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ht="15" customHeight="1"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ht="15" customHeight="1"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ht="15" customHeight="1"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ht="15" customHeight="1"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ht="15" customHeight="1"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ht="15" customHeight="1"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ht="15" customHeight="1"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ht="15" customHeight="1"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ht="15" customHeight="1"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ht="15" customHeight="1"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ht="15" customHeight="1"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ht="15" customHeight="1"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ht="15" customHeight="1"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ht="15" customHeight="1"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ht="15" customHeight="1"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ht="15" customHeight="1"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ht="15" customHeight="1"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ht="15" customHeight="1"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ht="15" customHeight="1"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ht="15" customHeight="1"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ht="15" customHeight="1"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ht="15" customHeight="1"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ht="15" customHeight="1"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ht="15" customHeight="1"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ht="15" customHeight="1"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ht="15" customHeight="1"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ht="15" customHeight="1"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ht="15" customHeight="1"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ht="15" customHeight="1"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ht="15" customHeight="1"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ht="15" customHeight="1"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ht="15" customHeight="1"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ht="15" customHeight="1"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ht="15" customHeight="1"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ht="15" customHeight="1"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ht="15" customHeight="1"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ht="15" customHeight="1"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ht="15" customHeight="1"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ht="15" customHeight="1"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ht="15" customHeight="1"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ht="15" customHeight="1"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ht="15" customHeight="1"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ht="15" customHeight="1"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ht="15" customHeight="1"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ht="15" customHeight="1"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ht="15" customHeight="1"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ht="15" customHeight="1"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ht="15" customHeight="1"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ht="15" customHeight="1"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ht="15" customHeight="1"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ht="15" customHeight="1"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ht="15" customHeight="1"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ht="15" customHeight="1"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ht="15" customHeight="1"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ht="15" customHeight="1"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ht="15" customHeight="1"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ht="15" customHeight="1"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ht="15" customHeight="1"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ht="15" customHeight="1"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ht="15" customHeight="1"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ht="15" customHeight="1"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ht="15" customHeight="1"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ht="15" customHeight="1"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ht="15" customHeight="1"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ht="15" customHeight="1"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ht="15" customHeight="1"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ht="15" customHeight="1"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ht="15" customHeight="1"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ht="15" customHeight="1"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ht="15" customHeight="1"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ht="15" customHeight="1"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ht="15" customHeight="1"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ht="15" customHeight="1"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ht="15" customHeight="1"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ht="15" customHeight="1"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ht="15" customHeight="1"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ht="15" customHeight="1"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ht="15" customHeight="1"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ht="15" customHeight="1"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ht="15" customHeight="1"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ht="15" customHeight="1"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ht="15" customHeight="1"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ht="15" customHeight="1"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ht="15" customHeight="1"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ht="15" customHeight="1"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ht="15" customHeight="1"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ht="15" customHeight="1"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ht="15" customHeight="1"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ht="15" customHeight="1"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ht="15" customHeight="1"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ht="15" customHeight="1"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ht="15" customHeight="1"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ht="15" customHeight="1"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ht="15" customHeight="1"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ht="15" customHeight="1"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ht="15" customHeight="1"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ht="15" customHeight="1"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ht="15" customHeight="1"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ht="15" customHeight="1"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ht="15" customHeight="1"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ht="15" customHeight="1"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ht="15" customHeight="1"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ht="15" customHeight="1"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ht="15" customHeight="1"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ht="15" customHeight="1"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ht="15" customHeight="1"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ht="15" customHeight="1"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ht="15" customHeight="1"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ht="15" customHeight="1"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ht="15" customHeight="1"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ht="15" customHeight="1"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ht="15" customHeight="1"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ht="15" customHeight="1"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ht="15" customHeight="1"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ht="15" customHeight="1"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ht="15" customHeight="1"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ht="15" customHeight="1"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ht="15" customHeight="1"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ht="15" customHeight="1"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ht="15" customHeight="1"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ht="15" customHeight="1"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ht="15" customHeight="1"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ht="15" customHeight="1"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ht="15" customHeight="1"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ht="15" customHeight="1"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ht="15" customHeight="1"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ht="15" customHeight="1"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ht="15" customHeight="1"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ht="15" customHeight="1"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ht="15" customHeight="1"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ht="15" customHeight="1"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ht="15" customHeight="1"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ht="15" customHeight="1"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ht="15" customHeight="1"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ht="15" customHeight="1"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ht="15" customHeight="1"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ht="15" customHeight="1"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ht="15" customHeight="1"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ht="15" customHeight="1"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ht="15" customHeight="1"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ht="15" customHeight="1"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ht="15" customHeight="1"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ht="15" customHeight="1"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ht="15" customHeight="1"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ht="15" customHeight="1"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ht="15" customHeight="1"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ht="15" customHeight="1"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ht="15" customHeight="1"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ht="15" customHeight="1"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ht="15" customHeight="1"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ht="15" customHeight="1"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ht="15" customHeight="1"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ht="15" customHeight="1"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ht="15" customHeight="1"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ht="15" customHeight="1"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ht="15" customHeight="1"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ht="15" customHeight="1"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ht="15" customHeight="1"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ht="15" customHeight="1"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ht="15" customHeight="1"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ht="15" customHeight="1"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ht="15" customHeight="1"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ht="15" customHeight="1"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ht="15" customHeight="1"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ht="15" customHeight="1"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ht="15" customHeight="1"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ht="15" customHeight="1"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ht="15" customHeight="1"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ht="15" customHeight="1"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ht="15" customHeight="1"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ht="15" customHeight="1"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ht="15" customHeight="1"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ht="15" customHeight="1"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ht="15" customHeight="1"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ht="15" customHeight="1"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ht="15" customHeight="1"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ht="15" customHeight="1"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ht="15" customHeight="1"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ht="15" customHeight="1"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ht="15" customHeight="1"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ht="15" customHeight="1"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ht="15" customHeight="1"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ht="15" customHeight="1"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ht="15" customHeight="1"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ht="15" customHeight="1"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ht="15" customHeight="1"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ht="15" customHeight="1"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ht="15" customHeight="1"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ht="15" customHeight="1"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ht="15" customHeight="1"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ht="15" customHeight="1"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ht="15" customHeight="1"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ht="15" customHeight="1"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ht="15" customHeight="1"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ht="15" customHeight="1"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ht="15" customHeight="1"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ht="15" customHeight="1"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ht="15" customHeight="1"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ht="15" customHeight="1"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ht="15" customHeight="1"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ht="15" customHeight="1"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ht="15" customHeight="1"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ht="15" customHeight="1"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ht="15" customHeight="1"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ht="15" customHeight="1"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ht="15" customHeight="1"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ht="15" customHeight="1"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ht="15" customHeight="1"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ht="15" customHeight="1"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ht="15" customHeight="1"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ht="15" customHeight="1"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ht="15" customHeight="1"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ht="15" customHeight="1"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ht="15" customHeight="1"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ht="15" customHeight="1"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ht="15" customHeight="1"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ht="15" customHeight="1"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ht="15" customHeight="1"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ht="15" customHeight="1"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ht="15" customHeight="1"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ht="15" customHeight="1"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ht="15" customHeight="1"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ht="15" customHeight="1"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ht="15" customHeight="1"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ht="15" customHeight="1"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ht="15" customHeight="1"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ht="15" customHeight="1"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ht="15" customHeight="1"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ht="15" customHeight="1"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ht="15" customHeight="1"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ht="15" customHeight="1"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ht="15" customHeight="1"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ht="15" customHeight="1"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ht="15" customHeight="1"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ht="15" customHeight="1"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ht="15" customHeight="1"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ht="15" customHeight="1"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ht="15" customHeight="1"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ht="15" customHeight="1"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ht="15" customHeight="1"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ht="15" customHeight="1"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ht="15" customHeight="1"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ht="15" customHeight="1"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ht="15" customHeight="1"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ht="15" customHeight="1"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ht="15" customHeight="1"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ht="15" customHeight="1"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ht="15" customHeight="1"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ht="15" customHeight="1"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ht="15" customHeight="1"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ht="15" customHeight="1"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ht="15" customHeight="1"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ht="15" customHeight="1"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ht="15" customHeight="1"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ht="15" customHeight="1"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ht="15" customHeight="1"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ht="15" customHeight="1"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ht="15" customHeight="1"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ht="15" customHeight="1"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ht="15" customHeight="1"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ht="15" customHeight="1"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ht="15" customHeight="1"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ht="15" customHeight="1"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ht="15" customHeight="1"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ht="15" customHeight="1"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ht="15" customHeight="1"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ht="15" customHeight="1"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ht="15" customHeight="1"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ht="15" customHeight="1"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ht="15" customHeight="1"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ht="15" customHeight="1"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ht="15" customHeight="1"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ht="15" customHeight="1"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ht="15" customHeight="1"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ht="15" customHeight="1"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ht="15" customHeight="1"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ht="15" customHeight="1"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ht="15" customHeight="1"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ht="15" customHeight="1"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ht="15" customHeight="1"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ht="15" customHeight="1"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ht="15" customHeight="1"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ht="15" customHeight="1"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ht="15" customHeight="1"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ht="15" customHeight="1"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ht="15" customHeight="1"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ht="15" customHeight="1"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ht="15" customHeight="1"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ht="15" customHeight="1"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ht="15" customHeight="1"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ht="15" customHeight="1"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ht="15" customHeight="1"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ht="15" customHeight="1"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ht="15" customHeight="1"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ht="15" customHeight="1"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ht="15" customHeight="1"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ht="15" customHeight="1"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ht="15" customHeight="1"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ht="15" customHeight="1"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ht="15" customHeight="1"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ht="15" customHeight="1"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ht="15" customHeight="1"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ht="15" customHeight="1"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ht="15" customHeight="1"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ht="15" customHeight="1"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ht="15" customHeight="1"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ht="15" customHeight="1"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ht="15" customHeight="1"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ht="15" customHeight="1"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ht="15" customHeight="1"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ht="15" customHeight="1"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ht="15" customHeight="1"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ht="15" customHeight="1"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ht="15" customHeight="1"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ht="15" customHeight="1"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ht="15" customHeight="1"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ht="15" customHeight="1"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ht="15" customHeight="1"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ht="15" customHeight="1"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ht="15" customHeight="1"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ht="15" customHeight="1"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ht="15" customHeight="1"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ht="15" customHeight="1"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ht="15" customHeight="1"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ht="15" customHeight="1"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ht="15" customHeight="1"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ht="15" customHeight="1"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ht="15" customHeight="1"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ht="15" customHeight="1"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ht="15" customHeight="1"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ht="15" customHeight="1"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ht="15" customHeight="1"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ht="15" customHeight="1"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ht="15" customHeight="1"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ht="15" customHeight="1"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ht="15" customHeight="1"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ht="15" customHeight="1"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ht="15" customHeight="1"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ht="15" customHeight="1"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ht="15" customHeight="1"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ht="15" customHeight="1"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ht="15" customHeight="1"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ht="15" customHeight="1"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ht="15" customHeight="1"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ht="15" customHeight="1"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ht="15" customHeight="1"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ht="15" customHeight="1"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ht="15" customHeight="1"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ht="15" customHeight="1"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ht="15" customHeight="1"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ht="15" customHeight="1"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ht="15" customHeight="1"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ht="15" customHeight="1"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ht="15" customHeight="1"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ht="15" customHeight="1"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ht="15" customHeight="1"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ht="15" customHeight="1"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ht="15" customHeight="1"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ht="15" customHeight="1"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ht="15" customHeight="1"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ht="15" customHeight="1"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ht="15" customHeight="1"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ht="15" customHeight="1"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ht="15" customHeight="1"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ht="15" customHeight="1"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ht="15" customHeight="1"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ht="15" customHeight="1"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ht="15" customHeight="1"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ht="15" customHeight="1"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ht="15" customHeight="1"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ht="15" customHeight="1"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ht="15" customHeight="1"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ht="15" customHeight="1"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ht="15" customHeight="1"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ht="15" customHeight="1"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ht="15" customHeight="1"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ht="15" customHeight="1"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ht="15" customHeight="1"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ht="15" customHeight="1"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ht="15" customHeight="1"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ht="15" customHeight="1"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ht="15" customHeight="1"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ht="15" customHeight="1"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ht="15" customHeight="1"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ht="15" customHeight="1"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ht="15" customHeight="1"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ht="15" customHeight="1"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ht="15" customHeight="1"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ht="15" customHeight="1"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ht="15" customHeight="1"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ht="15" customHeight="1"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ht="15" customHeight="1"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ht="15" customHeight="1"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ht="15" customHeight="1"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ht="15" customHeight="1"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ht="15" customHeight="1"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ht="15" customHeight="1"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ht="15" customHeight="1"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ht="15" customHeight="1"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ht="15" customHeight="1"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ht="15" customHeight="1"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ht="15" customHeight="1"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ht="15" customHeight="1"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ht="15" customHeight="1"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ht="15" customHeight="1"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ht="15" customHeight="1"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ht="15" customHeight="1"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ht="15" customHeight="1"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ht="15" customHeight="1"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ht="15" customHeight="1"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ht="15" customHeight="1"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ht="15" customHeight="1"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ht="15" customHeight="1"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ht="15" customHeight="1"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ht="15" customHeight="1"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ht="15" customHeight="1"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ht="15" customHeight="1"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ht="15" customHeight="1"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ht="15" customHeight="1"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ht="15" customHeight="1"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ht="15" customHeight="1"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ht="15" customHeight="1"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ht="15" customHeight="1"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ht="15" customHeight="1"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ht="15" customHeight="1"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ht="15" customHeight="1"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ht="15" customHeight="1"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ht="15" customHeight="1"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ht="15" customHeight="1"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ht="15" customHeight="1"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ht="15" customHeight="1"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ht="15" customHeight="1"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ht="15" customHeight="1"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ht="15" customHeight="1"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ht="15" customHeight="1"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ht="15" customHeight="1"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ht="15" customHeight="1"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ht="15" customHeight="1"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ht="15" customHeight="1"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ht="15" customHeight="1"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ht="15" customHeight="1"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ht="15" customHeight="1"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ht="15" customHeight="1"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ht="15" customHeight="1"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ht="15" customHeight="1"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ht="15" customHeight="1"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ht="15" customHeight="1"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ht="15" customHeight="1"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ht="15" customHeight="1"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ht="15" customHeight="1"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ht="15" customHeight="1"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ht="15" customHeight="1"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ht="15" customHeight="1"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ht="15" customHeight="1"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ht="15" customHeight="1"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ht="15" customHeight="1"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ht="15" customHeight="1"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ht="15" customHeight="1"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ht="15" customHeight="1"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ht="15" customHeight="1"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ht="15" customHeight="1"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ht="15" customHeight="1"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ht="15" customHeight="1"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ht="15" customHeight="1"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ht="15" customHeight="1"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ht="15" customHeight="1"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ht="15" customHeight="1"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ht="15" customHeight="1"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ht="15" customHeight="1"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ht="15" customHeight="1"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ht="15" customHeight="1"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ht="15" customHeight="1"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ht="15" customHeight="1"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ht="15" customHeight="1"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ht="15" customHeight="1"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ht="15" customHeight="1"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ht="15" customHeight="1"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ht="15" customHeight="1"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ht="15" customHeight="1"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ht="15" customHeight="1"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ht="15" customHeight="1"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ht="15" customHeight="1"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ht="15" customHeight="1"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ht="15" customHeight="1"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ht="15" customHeight="1"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ht="15" customHeight="1"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ht="15" customHeight="1"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ht="15" customHeight="1"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ht="15" customHeight="1"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ht="15" customHeight="1"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ht="15" customHeight="1"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ht="15" customHeight="1"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ht="15" customHeight="1"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ht="15" customHeight="1"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ht="15" customHeight="1"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ht="15" customHeight="1"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ht="15" customHeight="1"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ht="15" customHeight="1"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ht="15" customHeight="1"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ht="15" customHeight="1"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ht="15" customHeight="1"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ht="15" customHeight="1"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ht="15" customHeight="1"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ht="15" customHeight="1"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ht="15" customHeight="1"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ht="15" customHeight="1"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ht="15" customHeight="1"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ht="15" customHeight="1"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ht="15" customHeight="1"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ht="15" customHeight="1"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ht="15" customHeight="1"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ht="15" customHeight="1"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ht="15" customHeight="1"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ht="15" customHeight="1"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ht="15" customHeight="1"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ht="15" customHeight="1"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ht="15" customHeight="1"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ht="15" customHeight="1"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ht="15" customHeight="1"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ht="15" customHeight="1"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ht="15" customHeight="1"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ht="15" customHeight="1"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ht="15" customHeight="1"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ht="15" customHeight="1"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ht="15" customHeight="1"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ht="15" customHeight="1"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ht="15" customHeight="1"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ht="15" customHeight="1"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ht="15" customHeight="1"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ht="15" customHeight="1"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ht="15" customHeight="1"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ht="15" customHeight="1"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ht="15" customHeight="1"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ht="15" customHeight="1"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ht="15" customHeight="1"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ht="15" customHeight="1"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ht="15" customHeight="1"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ht="15" customHeight="1"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ht="15" customHeight="1"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ht="15" customHeight="1"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ht="15" customHeight="1"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ht="15" customHeight="1"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ht="15" customHeight="1"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ht="15" customHeight="1"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ht="15" customHeight="1"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ht="15" customHeight="1"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ht="15" customHeight="1"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ht="15" customHeight="1"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ht="15" customHeight="1"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ht="15" customHeight="1"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ht="15" customHeight="1"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ht="15" customHeight="1"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ht="15" customHeight="1"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ht="15" customHeight="1"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ht="15" customHeight="1"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ht="15" customHeight="1"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ht="15" customHeight="1"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ht="15" customHeight="1"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ht="15" customHeight="1"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ht="15" customHeight="1"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ht="15" customHeight="1"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ht="15" customHeight="1"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ht="15" customHeight="1"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ht="15" customHeight="1"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ht="15" customHeight="1"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ht="15" customHeight="1"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ht="15" customHeight="1"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ht="15" customHeight="1"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ht="15" customHeight="1"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ht="15" customHeight="1"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ht="15" customHeight="1"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ht="15" customHeight="1"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ht="15" customHeight="1"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ht="15" customHeight="1"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ht="15" customHeight="1"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ht="15" customHeight="1"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ht="15" customHeight="1"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ht="15" customHeight="1"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ht="15" customHeight="1"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ht="15" customHeight="1"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ht="15" customHeight="1"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ht="15" customHeight="1"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ht="15" customHeight="1"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ht="15" customHeight="1"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ht="15" customHeight="1"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ht="15" customHeight="1"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ht="15" customHeight="1"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ht="15" customHeight="1"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ht="15" customHeight="1"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ht="15" customHeight="1"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ht="15" customHeight="1"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ht="15" customHeight="1"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ht="15" customHeight="1"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ht="15" customHeight="1"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ht="15" customHeight="1"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ht="15" customHeight="1"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ht="15" customHeight="1"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ht="15" customHeight="1"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ht="15" customHeight="1"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ht="15" customHeight="1"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ht="15" customHeight="1"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ht="15" customHeight="1"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ht="15" customHeight="1"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ht="15" customHeight="1"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ht="15" customHeight="1"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ht="15" customHeight="1"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ht="15" customHeight="1"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ht="15" customHeight="1"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ht="15" customHeight="1"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ht="15" customHeight="1"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ht="15" customHeight="1"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ht="15" customHeight="1"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ht="15" customHeight="1"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ht="15" customHeight="1"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ht="15" customHeight="1"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ht="15" customHeight="1"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ht="15" customHeight="1"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ht="15" customHeight="1"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ht="15" customHeight="1"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ht="15" customHeight="1"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ht="15" customHeight="1"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ht="15" customHeight="1"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ht="15" customHeight="1"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ht="15" customHeight="1"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ht="15" customHeight="1"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ht="15" customHeight="1"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ht="15" customHeight="1"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ht="15" customHeight="1"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ht="15" customHeight="1"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ht="15" customHeight="1"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ht="15" customHeight="1"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ht="15" customHeight="1"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ht="15" customHeight="1"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ht="15" customHeight="1"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ht="15" customHeight="1"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ht="15" customHeight="1"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ht="15" customHeight="1"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ht="15" customHeight="1"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ht="15" customHeight="1"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ht="15" customHeight="1"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ht="15" customHeight="1"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ht="15" customHeight="1"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ht="15" customHeight="1"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ht="15" customHeight="1"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ht="15" customHeight="1"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ht="15" customHeight="1"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ht="15" customHeight="1"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ht="15" customHeight="1"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ht="15" customHeight="1"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ht="15" customHeight="1"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ht="15" customHeight="1"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ht="15" customHeight="1"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ht="15" customHeight="1"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ht="15" customHeight="1"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ht="15" customHeight="1"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ht="15" customHeight="1"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ht="15" customHeight="1"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ht="15" customHeight="1"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ht="15" customHeight="1"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ht="15" customHeight="1"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ht="15" customHeight="1"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ht="15" customHeight="1"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ht="15" customHeight="1"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ht="15" customHeight="1"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ht="15" customHeight="1"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ht="15" customHeight="1"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ht="15" customHeight="1"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ht="15" customHeight="1"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ht="15" customHeight="1"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ht="15" customHeight="1"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ht="15" customHeight="1"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ht="15" customHeight="1"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ht="15" customHeight="1"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ht="15" customHeight="1"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ht="15" customHeight="1"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ht="15" customHeight="1"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ht="15" customHeight="1"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ht="15" customHeight="1"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ht="15" customHeight="1"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ht="15" customHeight="1"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ht="15" customHeight="1"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ht="15" customHeight="1"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ht="15" customHeight="1"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ht="15" customHeight="1"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ht="15" customHeight="1"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ht="15" customHeight="1"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ht="15" customHeight="1"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ht="15" customHeight="1"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ht="15" customHeight="1"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ht="15" customHeight="1"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ht="15" customHeight="1"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ht="15" customHeight="1"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ht="15" customHeight="1"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ht="15" customHeight="1"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ht="15" customHeight="1"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ht="15" customHeight="1"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ht="15" customHeight="1"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ht="15" customHeight="1"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ht="15" customHeight="1"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ht="15" customHeight="1"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ht="15" customHeight="1"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ht="15" customHeight="1"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ht="15" customHeight="1"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ht="15" customHeight="1"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ht="15" customHeight="1"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ht="15" customHeight="1"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ht="15" customHeight="1"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ht="15" customHeight="1"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ht="15" customHeight="1"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ht="15" customHeight="1"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ht="15" customHeight="1"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ht="15" customHeight="1"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ht="15" customHeight="1"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ht="15" customHeight="1"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ht="15" customHeight="1"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ht="15" customHeight="1"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ht="15" customHeight="1"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ht="15" customHeight="1"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ht="15" customHeight="1"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ht="15" customHeight="1"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ht="15" customHeight="1"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ht="15" customHeight="1"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ht="15" customHeight="1"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ht="15" customHeight="1"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ht="15" customHeight="1"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ht="15" customHeight="1"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ht="15" customHeight="1"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ht="15" customHeight="1"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ht="15" customHeight="1"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ht="15" customHeight="1"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ht="15" customHeight="1"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ht="15" customHeight="1"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ht="15" customHeight="1"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ht="15" customHeight="1"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ht="15" customHeight="1"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ht="15" customHeight="1"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ht="15" customHeight="1"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ht="15" customHeight="1"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ht="15" customHeight="1"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ht="15" customHeight="1"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ht="15" customHeight="1"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ht="15" customHeight="1"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ht="15" customHeight="1"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ht="15" customHeight="1"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ht="15" customHeight="1"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ht="15" customHeight="1"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ht="15" customHeight="1"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ht="15" customHeight="1"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ht="15" customHeight="1"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ht="15" customHeight="1"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ht="15" customHeight="1"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ht="15" customHeight="1"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ht="15" customHeight="1"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ht="15" customHeight="1"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ht="15" customHeight="1"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ht="15" customHeight="1"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ht="15" customHeight="1"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ht="15" customHeight="1"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ht="15" customHeight="1"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ht="15" customHeight="1"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ht="15" customHeight="1"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ht="15" customHeight="1"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ht="15" customHeight="1"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ht="15" customHeight="1"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ht="15" customHeight="1"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ht="15" customHeight="1"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ht="15" customHeight="1"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ht="15" customHeight="1"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ht="15" customHeight="1"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ht="15" customHeight="1"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ht="15" customHeight="1"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ht="15" customHeight="1"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ht="15" customHeight="1"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ht="15" customHeight="1"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ht="15" customHeight="1"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ht="15" customHeight="1"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ht="15" customHeight="1"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ht="15" customHeight="1"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ht="15" customHeight="1"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ht="15" customHeight="1"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ht="15" customHeight="1"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ht="15" customHeight="1"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ht="15" customHeight="1"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ht="15" customHeight="1"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ht="15" customHeight="1"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ht="15" customHeight="1"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ht="15" customHeight="1"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ht="15" customHeight="1"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ht="15" customHeight="1"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ht="15" customHeight="1"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ht="15" customHeight="1"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ht="15" customHeight="1"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ht="15" customHeight="1"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ht="15" customHeight="1"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ht="15" customHeight="1"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ht="15" customHeight="1"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ht="15" customHeight="1"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ht="15" customHeight="1"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ht="15" customHeight="1"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ht="15" customHeight="1"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ht="15" customHeight="1"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ht="15" customHeight="1"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ht="15" customHeight="1"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ht="15" customHeight="1"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ht="15" customHeight="1"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ht="15" customHeight="1"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ht="15" customHeight="1"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ht="15" customHeight="1"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ht="15" customHeight="1"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ht="15" customHeight="1"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ht="15" customHeight="1"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ht="15" customHeight="1"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ht="15" customHeight="1"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ht="15" customHeight="1"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ht="15" customHeight="1"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ht="15" customHeight="1"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ht="15" customHeight="1"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ht="15" customHeight="1"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ht="15" customHeight="1"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ht="15" customHeight="1"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ht="15" customHeight="1"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ht="15" customHeight="1"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ht="15" customHeight="1"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ht="15" customHeight="1"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ht="15" customHeight="1"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ht="15" customHeight="1"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ht="15" customHeight="1"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ht="15" customHeight="1"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ht="15" customHeight="1"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ht="15" customHeight="1"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ht="15" customHeight="1"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ht="15" customHeight="1"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ht="15" customHeight="1"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ht="15" customHeight="1"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ht="15" customHeight="1"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ht="15" customHeight="1"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ht="15" customHeight="1"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ht="15" customHeight="1"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ht="15" customHeight="1"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ht="15" customHeight="1"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ht="15" customHeight="1"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ht="15" customHeight="1"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ht="15" customHeight="1"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ht="15" customHeight="1"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ht="15" customHeight="1"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ht="15" customHeight="1"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ht="15" customHeight="1"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ht="15" customHeight="1"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ht="15" customHeight="1"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ht="15" customHeight="1"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ht="15" customHeight="1"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ht="15" customHeight="1"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ht="15" customHeight="1"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ht="15" customHeight="1"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ht="15" customHeight="1"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ht="15" customHeight="1"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ht="15" customHeight="1"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ht="15" customHeight="1"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ht="15" customHeight="1"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ht="15" customHeight="1"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ht="15" customHeight="1"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ht="15" customHeight="1"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ht="15" customHeight="1"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ht="15" customHeight="1"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ht="15" customHeight="1"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ht="15" customHeight="1"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ht="15" customHeight="1"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ht="15" customHeight="1"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ht="15" customHeight="1"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ht="15" customHeight="1"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ht="15" customHeight="1"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ht="15" customHeight="1"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ht="15" customHeight="1"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ht="15" customHeight="1"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ht="15" customHeight="1"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ht="15" customHeight="1"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ht="15" customHeight="1"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ht="15" customHeight="1"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ht="15" customHeight="1"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ht="15" customHeight="1"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ht="15" customHeight="1"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ht="15" customHeight="1"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ht="15" customHeight="1"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ht="15" customHeight="1"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ht="15" customHeight="1"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ht="15" customHeight="1"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ht="15" customHeight="1"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ht="15" customHeight="1"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ht="15" customHeight="1"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ht="15" customHeight="1"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ht="15" customHeight="1"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ht="15" customHeight="1"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ht="15" customHeight="1"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ht="15" customHeight="1"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ht="15" customHeight="1"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ht="15" customHeight="1"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ht="15" customHeight="1"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ht="15" customHeight="1"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ht="15" customHeight="1"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ht="15" customHeight="1"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ht="15" customHeight="1"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ht="15" customHeight="1"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ht="15" customHeight="1"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ht="15" customHeight="1"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ht="15" customHeight="1"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ht="15" customHeight="1"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ht="15" customHeight="1"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ht="15" customHeight="1"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ht="15" customHeight="1"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ht="15" customHeight="1"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ht="15" customHeight="1"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ht="15" customHeight="1"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ht="15" customHeight="1"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ht="15" customHeight="1"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ht="15" customHeight="1"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ht="15" customHeight="1"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ht="15" customHeight="1"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ht="15" customHeight="1"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ht="15" customHeight="1"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ht="15" customHeight="1"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ht="15" customHeight="1"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ht="15" customHeight="1"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ht="15" customHeight="1"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ht="15" customHeight="1"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ht="15" customHeight="1"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ht="15" customHeight="1"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ht="15" customHeight="1"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ht="15" customHeight="1"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ht="15" customHeight="1"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ht="15" customHeight="1"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ht="15" customHeight="1"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ht="15" customHeight="1"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ht="15" customHeight="1"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ht="15" customHeight="1"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ht="15" customHeight="1"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ht="15" customHeight="1"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ht="15" customHeight="1"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ht="15" customHeight="1"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ht="15" customHeight="1"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ht="15" customHeight="1"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ht="15" customHeight="1"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ht="15" customHeight="1"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ht="15" customHeight="1"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ht="15" customHeight="1"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ht="15" customHeight="1"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ht="15" customHeight="1"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ht="15" customHeight="1"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ht="15" customHeight="1"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ht="15" customHeight="1"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ht="15" customHeight="1"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ht="15" customHeight="1"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ht="15" customHeight="1"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ht="15" customHeight="1"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ht="15" customHeight="1"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ht="15" customHeight="1"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ht="15" customHeight="1"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ht="15" customHeight="1"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ht="15" customHeight="1"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ht="15" customHeight="1"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ht="15" customHeight="1"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ht="15" customHeight="1"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ht="15" customHeight="1"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ht="15" customHeight="1"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ht="15" customHeight="1"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ht="15" customHeight="1"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ht="15" customHeight="1"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ht="15" customHeight="1"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ht="15" customHeight="1"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ht="15" customHeight="1"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ht="15" customHeight="1"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ht="15" customHeight="1"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ht="15" customHeight="1"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ht="15" customHeight="1"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ht="15" customHeight="1"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ht="15" customHeight="1"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ht="15" customHeight="1"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ht="15" customHeight="1"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ht="15" customHeight="1"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ht="15" customHeight="1"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ht="15" customHeight="1"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ht="15" customHeight="1"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ht="15" customHeight="1"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ht="15" customHeight="1"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ht="15" customHeight="1"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ht="15" customHeight="1"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ht="15" customHeight="1"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ht="15" customHeight="1"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ht="15" customHeight="1"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ht="15" customHeight="1"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ht="15" customHeight="1"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ht="15" customHeight="1"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ht="15" customHeight="1"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ht="15" customHeight="1"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ht="15" customHeight="1"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ht="15" customHeight="1"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ht="15" customHeight="1"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ht="15" customHeight="1"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ht="15" customHeight="1"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ht="15" customHeight="1"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ht="15" customHeight="1"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ht="15" customHeight="1"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ht="15" customHeight="1"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ht="15" customHeight="1"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ht="15" customHeight="1"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ht="15" customHeight="1"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ht="15" customHeight="1"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ht="15" customHeight="1"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ht="15" customHeight="1"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ht="15" customHeight="1"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ht="15" customHeight="1"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ht="15" customHeight="1"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ht="15" customHeight="1"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ht="15" customHeight="1"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ht="15" customHeight="1"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ht="15" customHeight="1"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ht="15" customHeight="1"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ht="15" customHeight="1"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ht="15" customHeight="1"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ht="15" customHeight="1"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ht="15" customHeight="1"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ht="15" customHeight="1"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ht="15" customHeight="1"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ht="15" customHeight="1"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ht="15" customHeight="1"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ht="15" customHeight="1"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ht="15" customHeight="1"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ht="15" customHeight="1"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ht="15" customHeight="1"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ht="15" customHeight="1"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ht="15" customHeight="1"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ht="15" customHeight="1"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ht="15" customHeight="1"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ht="15" customHeight="1"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ht="15" customHeight="1"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ht="15" customHeight="1"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ht="15" customHeight="1"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ht="15" customHeight="1"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ht="15" customHeight="1"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ht="15" customHeight="1"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ht="15" customHeight="1"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ht="15" customHeight="1"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ht="15" customHeight="1"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ht="15" customHeight="1"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ht="15" customHeight="1"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ht="15" customHeight="1"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ht="15" customHeight="1"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ht="15" customHeight="1"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ht="15" customHeight="1"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ht="15" customHeight="1"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ht="15" customHeight="1"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ht="15" customHeight="1"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ht="15" customHeight="1"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ht="15" customHeight="1"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ht="15" customHeight="1"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ht="15" customHeight="1"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ht="15" customHeight="1"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ht="15" customHeight="1"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ht="15" customHeight="1"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ht="15" customHeight="1"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ht="15" customHeight="1"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ht="15" customHeight="1"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ht="15" customHeight="1"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ht="15" customHeight="1"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ht="15" customHeight="1"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ht="15" customHeight="1"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ht="15" customHeight="1"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ht="15" customHeight="1"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ht="15" customHeight="1"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ht="15" customHeight="1"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ht="15" customHeight="1"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ht="15" customHeight="1"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ht="15" customHeight="1"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ht="15" customHeight="1"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ht="15" customHeight="1"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ht="15" customHeight="1"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ht="15" customHeight="1"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ht="15" customHeight="1"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ht="15" customHeight="1"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ht="15" customHeight="1"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ht="15" customHeight="1"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ht="15" customHeight="1"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ht="15" customHeight="1"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ht="15" customHeight="1"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ht="15" customHeight="1"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ht="15" customHeight="1"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ht="15" customHeight="1"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ht="15" customHeight="1"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ht="15" customHeight="1"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ht="15" customHeight="1"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ht="15" customHeight="1"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ht="15" customHeight="1"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ht="15" customHeight="1"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ht="15" customHeight="1"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ht="15" customHeight="1"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ht="15" customHeight="1"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ht="15" customHeight="1"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ht="15" customHeight="1"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ht="15" customHeight="1"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ht="15" customHeight="1"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ht="15" customHeight="1"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ht="15" customHeight="1"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ht="15" customHeight="1"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ht="15" customHeight="1"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ht="15" customHeight="1"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ht="15" customHeight="1"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ht="15" customHeight="1"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ht="15" customHeight="1"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ht="15" customHeight="1"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ht="15" customHeight="1"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ht="15" customHeight="1"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ht="15" customHeight="1"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ht="15" customHeight="1"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ht="15" customHeight="1"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ht="15" customHeight="1"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ht="15" customHeight="1"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ht="15" customHeight="1"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ht="15" customHeight="1"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ht="15" customHeight="1"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ht="15" customHeight="1"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ht="15" customHeight="1"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ht="15" customHeight="1"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ht="15" customHeight="1"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ht="15" customHeight="1"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ht="15" customHeight="1"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ht="15" customHeight="1"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ht="15" customHeight="1"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ht="15" customHeight="1"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ht="15" customHeight="1"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ht="15" customHeight="1"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ht="15" customHeight="1"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ht="15" customHeight="1"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ht="15" customHeight="1"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ht="15" customHeight="1"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ht="15" customHeight="1"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ht="15" customHeight="1"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ht="15" customHeight="1"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ht="15" customHeight="1"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ht="15" customHeight="1"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ht="15" customHeight="1"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ht="15" customHeight="1"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ht="15" customHeight="1"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ht="15" customHeight="1"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ht="15" customHeight="1"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ht="15" customHeight="1"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ht="15" customHeight="1"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ht="15" customHeight="1"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ht="15" customHeight="1"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ht="15" customHeight="1"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ht="15" customHeight="1"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ht="15" customHeight="1"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ht="15" customHeight="1"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ht="15" customHeight="1"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ht="15" customHeight="1"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ht="15" customHeight="1"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ht="15" customHeight="1"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ht="15" customHeight="1"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ht="15" customHeight="1"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ht="15" customHeight="1"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ht="15" customHeight="1"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ht="15" customHeight="1"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ht="15" customHeight="1"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ht="15" customHeight="1"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ht="15" customHeight="1"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ht="15" customHeight="1"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ht="15" customHeight="1"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ht="15" customHeight="1"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ht="15" customHeight="1"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ht="15" customHeight="1"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ht="15" customHeight="1"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ht="15" customHeight="1"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ht="15" customHeight="1"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ht="15" customHeight="1"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ht="15" customHeight="1"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ht="15" customHeight="1"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ht="15" customHeight="1"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ht="15" customHeight="1"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ht="15" customHeight="1"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ht="15" customHeight="1"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ht="15" customHeight="1"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ht="15" customHeight="1"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ht="15" customHeight="1"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ht="15" customHeight="1"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ht="15" customHeight="1"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ht="15" customHeight="1"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ht="15" customHeight="1"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ht="15" customHeight="1"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ht="15" customHeight="1"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ht="15" customHeight="1"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ht="15" customHeight="1"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ht="15" customHeight="1"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ht="15" customHeight="1"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ht="15" customHeight="1"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ht="15" customHeight="1"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ht="15" customHeight="1"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ht="15" customHeight="1"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ht="15" customHeight="1"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ht="15" customHeight="1"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ht="15" customHeight="1"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ht="15" customHeight="1"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ht="15" customHeight="1"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ht="15" customHeight="1"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ht="15" customHeight="1"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ht="15" customHeight="1"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ht="15" customHeight="1"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ht="15" customHeight="1"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ht="15" customHeight="1"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ht="15" customHeight="1"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ht="15" customHeight="1"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ht="15" customHeight="1"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ht="15" customHeight="1"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ht="15" customHeight="1"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ht="15" customHeight="1"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ht="15" customHeight="1"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ht="15" customHeight="1"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ht="15" customHeight="1"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ht="15" customHeight="1"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ht="15" customHeight="1"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ht="15" customHeight="1"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ht="15" customHeight="1"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ht="15" customHeight="1"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ht="15" customHeight="1"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ht="15" customHeight="1"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ht="15" customHeight="1"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ht="15" customHeight="1"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ht="15" customHeight="1"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ht="15" customHeight="1"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ht="15" customHeight="1"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ht="15" customHeight="1"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ht="15" customHeight="1"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ht="15" customHeight="1"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ht="15" customHeight="1"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ht="15" customHeight="1"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ht="15" customHeight="1"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ht="15" customHeight="1"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ht="15" customHeight="1"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ht="15" customHeight="1"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ht="15" customHeight="1"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ht="15" customHeight="1"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ht="15" customHeight="1"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ht="15" customHeight="1"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ht="15" customHeight="1"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ht="15" customHeight="1"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ht="15" customHeight="1"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ht="15" customHeight="1"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ht="15" customHeight="1"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ht="15" customHeight="1"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ht="15" customHeight="1"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ht="15" customHeight="1"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ht="15" customHeight="1"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ht="15" customHeight="1"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ht="15" customHeight="1"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ht="15" customHeight="1"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ht="15" customHeight="1"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ht="15" customHeight="1"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ht="15" customHeight="1"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ht="15" customHeight="1"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ht="15" customHeight="1"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ht="15" customHeight="1"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ht="15" customHeight="1"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ht="15" customHeight="1"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ht="15" customHeight="1"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ht="15" customHeight="1"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ht="15" customHeight="1"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ht="15" customHeight="1"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ht="15" customHeight="1"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ht="15" customHeight="1"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ht="15" customHeight="1"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ht="15" customHeight="1"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ht="15" customHeight="1"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ht="15" customHeight="1"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ht="15" customHeight="1"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ht="15" customHeight="1"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ht="15" customHeight="1"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ht="15" customHeight="1"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ht="15" customHeight="1"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ht="15" customHeight="1"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ht="15" customHeight="1"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ht="15" customHeight="1"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ht="15" customHeight="1"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ht="15" customHeight="1"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ht="15" customHeight="1"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ht="15" customHeight="1"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ht="15" customHeight="1"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ht="15" customHeight="1"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ht="15" customHeight="1"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ht="15" customHeight="1"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ht="15" customHeight="1"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ht="15" customHeight="1"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ht="15" customHeight="1"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ht="15" customHeight="1"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ht="15" customHeight="1"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ht="15" customHeight="1"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ht="15" customHeight="1"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ht="15" customHeight="1"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ht="15" customHeight="1"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ht="15" customHeight="1"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ht="15" customHeight="1"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ht="15" customHeight="1"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ht="15" customHeight="1"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ht="15" customHeight="1"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ht="15" customHeight="1"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ht="15" customHeight="1"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ht="15" customHeight="1"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ht="15" customHeight="1"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ht="15" customHeight="1"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ht="15" customHeight="1"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ht="15" customHeight="1"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ht="15" customHeight="1"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ht="15" customHeight="1"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ht="15" customHeight="1"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ht="15" customHeight="1"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ht="15" customHeight="1"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ht="15" customHeight="1"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ht="15" customHeight="1"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ht="15" customHeight="1"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ht="15" customHeight="1"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ht="15" customHeight="1"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ht="15" customHeight="1"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ht="15" customHeight="1"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ht="15" customHeight="1"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ht="15" customHeight="1"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ht="15" customHeight="1"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ht="15" customHeight="1"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ht="15" customHeight="1"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ht="15" customHeight="1"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ht="15" customHeight="1"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ht="15" customHeight="1"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ht="15" customHeight="1"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ht="15" customHeight="1"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ht="15" customHeight="1"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ht="15" customHeight="1"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ht="15" customHeight="1"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ht="15" customHeight="1"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ht="15" customHeight="1"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ht="15" customHeight="1"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ht="15" customHeight="1"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ht="15" customHeight="1"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ht="15" customHeight="1"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ht="15" customHeight="1"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ht="15" customHeight="1"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ht="15" customHeight="1"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ht="15" customHeight="1"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ht="15" customHeight="1"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ht="15" customHeight="1"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ht="15" customHeight="1"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ht="15" customHeight="1"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ht="15" customHeight="1"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ht="15" customHeight="1"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ht="15" customHeight="1"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ht="15" customHeight="1"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ht="15" customHeight="1"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ht="15" customHeight="1"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T5:BY5"/>
    <mergeCell ref="BM5:BR5"/>
    <mergeCell ref="AR5:AW5"/>
    <mergeCell ref="AD5:AI5"/>
    <mergeCell ref="P5:U5"/>
    <mergeCell ref="AY5:BD5"/>
    <mergeCell ref="AK5:AP5"/>
    <mergeCell ref="W5:AB5"/>
  </mergeCells>
  <conditionalFormatting sqref="L1:M1048576">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M1:M1048576">
    <cfRule type="dataBar" priority="2">
      <dataBar>
        <cfvo type="min"/>
        <cfvo type="max"/>
        <color rgb="FF638EC6"/>
      </dataBar>
    </cfRule>
  </conditionalFormatting>
  <conditionalFormatting sqref="P5:BZ1985">
    <cfRule type="expression" dxfId="7" priority="3">
      <formula>P$6=TODAY()</formula>
    </cfRule>
  </conditionalFormatting>
  <conditionalFormatting sqref="P8:BZ132">
    <cfRule type="expression" dxfId="6" priority="1">
      <formula>AND(P$6&gt;$I8,P$6&lt;=$J8)</formula>
    </cfRule>
  </conditionalFormatting>
  <conditionalFormatting sqref="P8:BZ1985">
    <cfRule type="expression" dxfId="5" priority="5">
      <formula>AND(P$6&gt;=$H8,P$6&lt;=$I8)</formula>
    </cfRule>
  </conditionalFormatting>
  <conditionalFormatting sqref="P130:BZ130">
    <cfRule type="expression" dxfId="4" priority="9">
      <formula>AND(P$6&gt;=$H131,P$6&lt;=$I131)</formula>
    </cfRule>
  </conditionalFormatting>
  <conditionalFormatting sqref="P131:BZ131">
    <cfRule type="expression" dxfId="3" priority="10">
      <formula>AND(P$6&gt;=#REF!,P$6&lt;=#REF!)</formula>
    </cfRule>
  </conditionalFormatting>
  <dataValidations count="2">
    <dataValidation type="list" allowBlank="1" showInputMessage="1" showErrorMessage="1" sqref="L4:L6 L132:L1048576" xr:uid="{00000000-0002-0000-0100-000000000000}">
      <formula1>$C$148:$C$150</formula1>
    </dataValidation>
    <dataValidation type="list" allowBlank="1" showInputMessage="1" showErrorMessage="1" sqref="L7:L131" xr:uid="{00000000-0002-0000-0100-000001000000}">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0000000-0004-0000-0100-000000000000}"/>
  </hyperlinks>
  <pageMargins left="0.7" right="0.7" top="0.75" bottom="0.75" header="0.3" footer="0.3"/>
  <pageSetup paperSize="9" orientation="portrait"/>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R79"/>
  <sheetViews>
    <sheetView showGridLines="0" workbookViewId="0">
      <selection activeCell="C11" sqref="C1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7" customHeight="1" thickBot="1" x14ac:dyDescent="0.35">
      <c r="A1" s="125" t="s">
        <v>125</v>
      </c>
      <c r="B1" s="118"/>
      <c r="C1" s="118"/>
      <c r="D1" s="118"/>
      <c r="E1" s="118"/>
      <c r="F1" s="118"/>
      <c r="G1" s="118"/>
    </row>
    <row r="2" spans="1:18" ht="26.25" customHeight="1" x14ac:dyDescent="0.3">
      <c r="A2" s="124" t="s">
        <v>126</v>
      </c>
      <c r="B2" s="118"/>
      <c r="C2" s="118"/>
      <c r="D2" s="118"/>
      <c r="E2" s="118"/>
      <c r="F2" s="118"/>
      <c r="G2" s="118"/>
      <c r="I2" s="114" t="s">
        <v>127</v>
      </c>
      <c r="J2" s="115"/>
      <c r="K2" s="115"/>
      <c r="L2" s="115"/>
      <c r="M2" s="115"/>
      <c r="N2" s="115"/>
      <c r="O2" s="115"/>
      <c r="P2" s="115"/>
      <c r="Q2" s="115"/>
      <c r="R2" s="116"/>
    </row>
    <row r="3" spans="1:18" ht="15.75" customHeight="1" thickBot="1" x14ac:dyDescent="0.35">
      <c r="I3" s="117"/>
      <c r="J3" s="118"/>
      <c r="K3" s="118"/>
      <c r="L3" s="118"/>
      <c r="M3" s="118"/>
      <c r="N3" s="118"/>
      <c r="O3" s="118"/>
      <c r="P3" s="118"/>
      <c r="Q3" s="118"/>
      <c r="R3" s="119"/>
    </row>
    <row r="4" spans="1:18" x14ac:dyDescent="0.3">
      <c r="A4" s="71" t="s">
        <v>1</v>
      </c>
      <c r="B4" s="72" t="s">
        <v>128</v>
      </c>
      <c r="E4" s="123" t="s">
        <v>129</v>
      </c>
      <c r="F4" s="115"/>
      <c r="G4" s="116"/>
      <c r="I4" s="117"/>
      <c r="J4" s="118"/>
      <c r="K4" s="118"/>
      <c r="L4" s="118"/>
      <c r="M4" s="118"/>
      <c r="N4" s="118"/>
      <c r="O4" s="118"/>
      <c r="P4" s="118"/>
      <c r="Q4" s="118"/>
      <c r="R4" s="119"/>
    </row>
    <row r="5" spans="1:18" x14ac:dyDescent="0.3">
      <c r="A5" s="73" t="s">
        <v>130</v>
      </c>
      <c r="B5" s="74" t="s">
        <v>131</v>
      </c>
      <c r="E5" s="117"/>
      <c r="F5" s="118"/>
      <c r="G5" s="119"/>
      <c r="I5" s="117"/>
      <c r="J5" s="118"/>
      <c r="K5" s="118"/>
      <c r="L5" s="118"/>
      <c r="M5" s="118"/>
      <c r="N5" s="118"/>
      <c r="O5" s="118"/>
      <c r="P5" s="118"/>
      <c r="Q5" s="118"/>
      <c r="R5" s="119"/>
    </row>
    <row r="6" spans="1:18" ht="15.75" customHeight="1" thickBot="1" x14ac:dyDescent="0.35">
      <c r="A6" s="73" t="s">
        <v>132</v>
      </c>
      <c r="B6" s="74" t="s">
        <v>133</v>
      </c>
      <c r="E6" s="120"/>
      <c r="F6" s="121"/>
      <c r="G6" s="122"/>
      <c r="I6" s="117"/>
      <c r="J6" s="118"/>
      <c r="K6" s="118"/>
      <c r="L6" s="118"/>
      <c r="M6" s="118"/>
      <c r="N6" s="118"/>
      <c r="O6" s="118"/>
      <c r="P6" s="118"/>
      <c r="Q6" s="118"/>
      <c r="R6" s="119"/>
    </row>
    <row r="7" spans="1:18" x14ac:dyDescent="0.3">
      <c r="A7" s="73" t="s">
        <v>134</v>
      </c>
      <c r="B7" s="74"/>
      <c r="I7" s="117"/>
      <c r="J7" s="118"/>
      <c r="K7" s="118"/>
      <c r="L7" s="118"/>
      <c r="M7" s="118"/>
      <c r="N7" s="118"/>
      <c r="O7" s="118"/>
      <c r="P7" s="118"/>
      <c r="Q7" s="118"/>
      <c r="R7" s="119"/>
    </row>
    <row r="8" spans="1:18" x14ac:dyDescent="0.3">
      <c r="A8" s="73" t="s">
        <v>3</v>
      </c>
      <c r="B8" s="75">
        <v>43831</v>
      </c>
      <c r="I8" s="117"/>
      <c r="J8" s="118"/>
      <c r="K8" s="118"/>
      <c r="L8" s="118"/>
      <c r="M8" s="118"/>
      <c r="N8" s="118"/>
      <c r="O8" s="118"/>
      <c r="P8" s="118"/>
      <c r="Q8" s="118"/>
      <c r="R8" s="119"/>
    </row>
    <row r="9" spans="1:18" x14ac:dyDescent="0.3">
      <c r="A9" s="73" t="s">
        <v>135</v>
      </c>
      <c r="B9" s="75">
        <v>43834</v>
      </c>
      <c r="I9" s="117"/>
      <c r="J9" s="118"/>
      <c r="K9" s="118"/>
      <c r="L9" s="118"/>
      <c r="M9" s="118"/>
      <c r="N9" s="118"/>
      <c r="O9" s="118"/>
      <c r="P9" s="118"/>
      <c r="Q9" s="118"/>
      <c r="R9" s="119"/>
    </row>
    <row r="10" spans="1:18" x14ac:dyDescent="0.3">
      <c r="A10" s="76" t="s">
        <v>136</v>
      </c>
      <c r="B10" s="77" t="s">
        <v>137</v>
      </c>
      <c r="I10" s="117"/>
      <c r="J10" s="118"/>
      <c r="K10" s="118"/>
      <c r="L10" s="118"/>
      <c r="M10" s="118"/>
      <c r="N10" s="118"/>
      <c r="O10" s="118"/>
      <c r="P10" s="118"/>
      <c r="Q10" s="118"/>
      <c r="R10" s="119"/>
    </row>
    <row r="11" spans="1:18" x14ac:dyDescent="0.3">
      <c r="I11" s="117"/>
      <c r="J11" s="118"/>
      <c r="K11" s="118"/>
      <c r="L11" s="118"/>
      <c r="M11" s="118"/>
      <c r="N11" s="118"/>
      <c r="O11" s="118"/>
      <c r="P11" s="118"/>
      <c r="Q11" s="118"/>
      <c r="R11" s="119"/>
    </row>
    <row r="12" spans="1:18" x14ac:dyDescent="0.3">
      <c r="I12" s="117"/>
      <c r="J12" s="118"/>
      <c r="K12" s="118"/>
      <c r="L12" s="118"/>
      <c r="M12" s="118"/>
      <c r="N12" s="118"/>
      <c r="O12" s="118"/>
      <c r="P12" s="118"/>
      <c r="Q12" s="118"/>
      <c r="R12" s="119"/>
    </row>
    <row r="13" spans="1:18" x14ac:dyDescent="0.3">
      <c r="A13" s="70" t="s">
        <v>138</v>
      </c>
      <c r="B13" s="70" t="s">
        <v>139</v>
      </c>
      <c r="C13" s="70" t="s">
        <v>140</v>
      </c>
      <c r="D13" s="70" t="s">
        <v>141</v>
      </c>
      <c r="E13" s="70" t="s">
        <v>142</v>
      </c>
      <c r="F13" s="70" t="s">
        <v>143</v>
      </c>
      <c r="G13" s="70" t="s">
        <v>144</v>
      </c>
      <c r="I13" s="117"/>
      <c r="J13" s="118"/>
      <c r="K13" s="118"/>
      <c r="L13" s="118"/>
      <c r="M13" s="118"/>
      <c r="N13" s="118"/>
      <c r="O13" s="118"/>
      <c r="P13" s="118"/>
      <c r="Q13" s="118"/>
      <c r="R13" s="119"/>
    </row>
    <row r="14" spans="1:18" x14ac:dyDescent="0.3">
      <c r="A14" s="63"/>
      <c r="B14" s="64"/>
      <c r="C14" s="63"/>
      <c r="D14" s="65"/>
      <c r="E14" s="65"/>
      <c r="F14" s="63"/>
      <c r="I14" s="117"/>
      <c r="J14" s="118"/>
      <c r="K14" s="118"/>
      <c r="L14" s="118"/>
      <c r="M14" s="118"/>
      <c r="N14" s="118"/>
      <c r="O14" s="118"/>
      <c r="P14" s="118"/>
      <c r="Q14" s="118"/>
      <c r="R14" s="119"/>
    </row>
    <row r="15" spans="1:18" x14ac:dyDescent="0.3">
      <c r="A15" s="63"/>
      <c r="B15" s="66" t="s">
        <v>21</v>
      </c>
      <c r="C15" s="63"/>
      <c r="D15" s="65"/>
      <c r="E15" s="65"/>
      <c r="F15" s="63"/>
      <c r="I15" s="117"/>
      <c r="J15" s="118"/>
      <c r="K15" s="118"/>
      <c r="L15" s="118"/>
      <c r="M15" s="118"/>
      <c r="N15" s="118"/>
      <c r="O15" s="118"/>
      <c r="P15" s="118"/>
      <c r="Q15" s="118"/>
      <c r="R15" s="119"/>
    </row>
    <row r="16" spans="1:18" x14ac:dyDescent="0.3">
      <c r="A16" s="63"/>
      <c r="B16" s="67" t="s">
        <v>24</v>
      </c>
      <c r="C16" s="63"/>
      <c r="D16" s="68">
        <v>43831</v>
      </c>
      <c r="E16" s="65">
        <v>43922</v>
      </c>
      <c r="F16" s="63">
        <v>3</v>
      </c>
      <c r="G16" t="s">
        <v>22</v>
      </c>
      <c r="I16" s="117"/>
      <c r="J16" s="118"/>
      <c r="K16" s="118"/>
      <c r="L16" s="118"/>
      <c r="M16" s="118"/>
      <c r="N16" s="118"/>
      <c r="O16" s="118"/>
      <c r="P16" s="118"/>
      <c r="Q16" s="118"/>
      <c r="R16" s="119"/>
    </row>
    <row r="17" spans="1:18" outlineLevel="1" x14ac:dyDescent="0.3">
      <c r="B17" t="s">
        <v>145</v>
      </c>
      <c r="D17" s="68">
        <v>43831</v>
      </c>
      <c r="E17" s="65">
        <v>43922</v>
      </c>
      <c r="F17" s="63">
        <v>3</v>
      </c>
      <c r="G17" t="s">
        <v>22</v>
      </c>
      <c r="I17" s="117"/>
      <c r="J17" s="118"/>
      <c r="K17" s="118"/>
      <c r="L17" s="118"/>
      <c r="M17" s="118"/>
      <c r="N17" s="118"/>
      <c r="O17" s="118"/>
      <c r="P17" s="118"/>
      <c r="Q17" s="118"/>
      <c r="R17" s="119"/>
    </row>
    <row r="18" spans="1:18" outlineLevel="1" x14ac:dyDescent="0.3">
      <c r="A18" s="63"/>
      <c r="B18" t="s">
        <v>146</v>
      </c>
      <c r="D18" s="68">
        <v>43831</v>
      </c>
      <c r="E18" s="65">
        <v>43922</v>
      </c>
      <c r="F18" s="63">
        <v>3</v>
      </c>
      <c r="G18" t="s">
        <v>22</v>
      </c>
      <c r="I18" s="117"/>
      <c r="J18" s="118"/>
      <c r="K18" s="118"/>
      <c r="L18" s="118"/>
      <c r="M18" s="118"/>
      <c r="N18" s="118"/>
      <c r="O18" s="118"/>
      <c r="P18" s="118"/>
      <c r="Q18" s="118"/>
      <c r="R18" s="119"/>
    </row>
    <row r="19" spans="1:18" outlineLevel="1" x14ac:dyDescent="0.3">
      <c r="B19" t="s">
        <v>147</v>
      </c>
      <c r="D19" s="68">
        <v>43831</v>
      </c>
      <c r="E19" s="65">
        <v>43922</v>
      </c>
      <c r="F19" s="63">
        <v>3</v>
      </c>
      <c r="G19" t="s">
        <v>22</v>
      </c>
      <c r="I19" s="117"/>
      <c r="J19" s="118"/>
      <c r="K19" s="118"/>
      <c r="L19" s="118"/>
      <c r="M19" s="118"/>
      <c r="N19" s="118"/>
      <c r="O19" s="118"/>
      <c r="P19" s="118"/>
      <c r="Q19" s="118"/>
      <c r="R19" s="119"/>
    </row>
    <row r="20" spans="1:18" x14ac:dyDescent="0.3">
      <c r="I20" s="117"/>
      <c r="J20" s="118"/>
      <c r="K20" s="118"/>
      <c r="L20" s="118"/>
      <c r="M20" s="118"/>
      <c r="N20" s="118"/>
      <c r="O20" s="118"/>
      <c r="P20" s="118"/>
      <c r="Q20" s="118"/>
      <c r="R20" s="119"/>
    </row>
    <row r="21" spans="1:18" ht="15.75" customHeight="1" thickBot="1" x14ac:dyDescent="0.35">
      <c r="B21" s="64"/>
      <c r="I21" s="120"/>
      <c r="J21" s="121"/>
      <c r="K21" s="121"/>
      <c r="L21" s="121"/>
      <c r="M21" s="121"/>
      <c r="N21" s="121"/>
      <c r="O21" s="121"/>
      <c r="P21" s="121"/>
      <c r="Q21" s="121"/>
      <c r="R21" s="122"/>
    </row>
    <row r="22" spans="1:18" outlineLevel="1" x14ac:dyDescent="0.3">
      <c r="B22" s="31" t="s">
        <v>33</v>
      </c>
      <c r="D22" s="69"/>
      <c r="E22" s="69"/>
    </row>
    <row r="23" spans="1:18" outlineLevel="1" x14ac:dyDescent="0.3">
      <c r="B23" t="s">
        <v>148</v>
      </c>
      <c r="D23" s="69">
        <v>43952</v>
      </c>
      <c r="E23" s="69">
        <v>44105</v>
      </c>
      <c r="F23">
        <v>5</v>
      </c>
      <c r="G23" t="s">
        <v>22</v>
      </c>
    </row>
    <row r="24" spans="1:18" outlineLevel="1" x14ac:dyDescent="0.3">
      <c r="B24" t="s">
        <v>149</v>
      </c>
      <c r="D24" s="69">
        <v>43952</v>
      </c>
      <c r="E24" s="69">
        <v>44105</v>
      </c>
      <c r="F24">
        <v>5</v>
      </c>
      <c r="G24" t="s">
        <v>22</v>
      </c>
    </row>
    <row r="25" spans="1:18" outlineLevel="1" x14ac:dyDescent="0.3">
      <c r="B25" t="s">
        <v>150</v>
      </c>
      <c r="D25" s="69">
        <v>43952</v>
      </c>
      <c r="E25" s="69">
        <v>44105</v>
      </c>
      <c r="F25">
        <v>5</v>
      </c>
      <c r="G25" t="s">
        <v>22</v>
      </c>
    </row>
    <row r="26" spans="1:18" outlineLevel="1" x14ac:dyDescent="0.3"/>
    <row r="28" spans="1:18" x14ac:dyDescent="0.3">
      <c r="B28" s="31" t="s">
        <v>151</v>
      </c>
    </row>
    <row r="29" spans="1:18" outlineLevel="1" x14ac:dyDescent="0.3">
      <c r="B29" s="31" t="s">
        <v>152</v>
      </c>
      <c r="D29" s="69">
        <v>44166</v>
      </c>
      <c r="E29" t="s">
        <v>153</v>
      </c>
      <c r="F29">
        <v>8</v>
      </c>
      <c r="G29" t="s">
        <v>22</v>
      </c>
    </row>
    <row r="30" spans="1:18" outlineLevel="2" x14ac:dyDescent="0.3">
      <c r="B30" s="31" t="s">
        <v>154</v>
      </c>
      <c r="D30" t="s">
        <v>155</v>
      </c>
      <c r="E30" t="s">
        <v>156</v>
      </c>
      <c r="F30">
        <v>59</v>
      </c>
      <c r="G30" t="s">
        <v>157</v>
      </c>
    </row>
    <row r="31" spans="1:18" outlineLevel="2" x14ac:dyDescent="0.3">
      <c r="B31" s="31" t="s">
        <v>158</v>
      </c>
      <c r="D31" t="s">
        <v>155</v>
      </c>
      <c r="E31" t="s">
        <v>159</v>
      </c>
      <c r="F31">
        <v>9</v>
      </c>
    </row>
    <row r="32" spans="1:18" outlineLevel="2" x14ac:dyDescent="0.3">
      <c r="B32" t="s">
        <v>160</v>
      </c>
    </row>
    <row r="33" spans="2:6" outlineLevel="2" x14ac:dyDescent="0.3">
      <c r="B33" t="s">
        <v>161</v>
      </c>
    </row>
    <row r="34" spans="2:6" outlineLevel="1" x14ac:dyDescent="0.3">
      <c r="B34" s="31" t="s">
        <v>162</v>
      </c>
      <c r="D34" s="69">
        <v>43832</v>
      </c>
      <c r="E34" s="69">
        <v>44106</v>
      </c>
      <c r="F34">
        <v>10</v>
      </c>
    </row>
    <row r="35" spans="2:6" outlineLevel="1" x14ac:dyDescent="0.3">
      <c r="B35" s="31" t="s">
        <v>163</v>
      </c>
    </row>
    <row r="36" spans="2:6" outlineLevel="2" x14ac:dyDescent="0.3">
      <c r="B36" t="s">
        <v>164</v>
      </c>
    </row>
    <row r="37" spans="2:6" outlineLevel="2" x14ac:dyDescent="0.3">
      <c r="B37" t="s">
        <v>165</v>
      </c>
    </row>
    <row r="38" spans="2:6" outlineLevel="2" x14ac:dyDescent="0.3">
      <c r="B38" s="31" t="s">
        <v>166</v>
      </c>
      <c r="D38" s="69">
        <v>44137</v>
      </c>
      <c r="E38" t="s">
        <v>167</v>
      </c>
      <c r="F38">
        <v>5</v>
      </c>
    </row>
    <row r="39" spans="2:6" outlineLevel="2" x14ac:dyDescent="0.3">
      <c r="B39" t="s">
        <v>168</v>
      </c>
    </row>
    <row r="40" spans="2:6" outlineLevel="2" x14ac:dyDescent="0.3">
      <c r="B40" s="31" t="s">
        <v>169</v>
      </c>
      <c r="D40" t="s">
        <v>170</v>
      </c>
      <c r="E40" t="s">
        <v>171</v>
      </c>
      <c r="F40">
        <v>5</v>
      </c>
    </row>
    <row r="41" spans="2:6" outlineLevel="2" x14ac:dyDescent="0.3">
      <c r="B41" t="s">
        <v>172</v>
      </c>
    </row>
    <row r="42" spans="2:6" outlineLevel="1" x14ac:dyDescent="0.3">
      <c r="B42" s="31" t="s">
        <v>173</v>
      </c>
    </row>
    <row r="43" spans="2:6" outlineLevel="1" x14ac:dyDescent="0.3">
      <c r="B43" t="s">
        <v>174</v>
      </c>
    </row>
    <row r="44" spans="2:6" outlineLevel="2" x14ac:dyDescent="0.3">
      <c r="B44" t="s">
        <v>175</v>
      </c>
    </row>
    <row r="45" spans="2:6" outlineLevel="2" x14ac:dyDescent="0.3">
      <c r="B45" t="s">
        <v>176</v>
      </c>
    </row>
    <row r="46" spans="2:6" outlineLevel="2" x14ac:dyDescent="0.3">
      <c r="B46" s="31" t="s">
        <v>177</v>
      </c>
      <c r="D46" t="s">
        <v>178</v>
      </c>
      <c r="E46" t="s">
        <v>179</v>
      </c>
      <c r="F46">
        <v>4</v>
      </c>
    </row>
    <row r="47" spans="2:6" outlineLevel="2" x14ac:dyDescent="0.3">
      <c r="B47" t="s">
        <v>180</v>
      </c>
    </row>
    <row r="48" spans="2:6" x14ac:dyDescent="0.3">
      <c r="B48" t="s">
        <v>181</v>
      </c>
    </row>
    <row r="49" spans="2:6" x14ac:dyDescent="0.3">
      <c r="B49" t="s">
        <v>182</v>
      </c>
    </row>
    <row r="50" spans="2:6" outlineLevel="1" x14ac:dyDescent="0.3">
      <c r="B50" t="s">
        <v>183</v>
      </c>
    </row>
    <row r="51" spans="2:6" outlineLevel="1" x14ac:dyDescent="0.3">
      <c r="B51" t="s">
        <v>184</v>
      </c>
    </row>
    <row r="52" spans="2:6" outlineLevel="1" x14ac:dyDescent="0.3">
      <c r="B52" s="31" t="s">
        <v>185</v>
      </c>
      <c r="D52" t="s">
        <v>179</v>
      </c>
      <c r="E52" t="s">
        <v>186</v>
      </c>
      <c r="F52">
        <v>3</v>
      </c>
    </row>
    <row r="53" spans="2:6" outlineLevel="1" x14ac:dyDescent="0.3">
      <c r="B53" t="s">
        <v>187</v>
      </c>
    </row>
    <row r="54" spans="2:6" outlineLevel="1" x14ac:dyDescent="0.3">
      <c r="B54" t="s">
        <v>188</v>
      </c>
    </row>
    <row r="55" spans="2:6" outlineLevel="1" x14ac:dyDescent="0.3">
      <c r="B55" t="s">
        <v>189</v>
      </c>
    </row>
    <row r="56" spans="2:6" x14ac:dyDescent="0.3">
      <c r="B56" t="s">
        <v>190</v>
      </c>
    </row>
    <row r="57" spans="2:6" x14ac:dyDescent="0.3">
      <c r="B57" t="s">
        <v>191</v>
      </c>
    </row>
    <row r="58" spans="2:6" outlineLevel="1" x14ac:dyDescent="0.3">
      <c r="B58" t="s">
        <v>192</v>
      </c>
    </row>
    <row r="59" spans="2:6" outlineLevel="1" x14ac:dyDescent="0.3">
      <c r="B59" s="31" t="s">
        <v>193</v>
      </c>
      <c r="D59" s="69">
        <v>43833</v>
      </c>
      <c r="E59" s="69">
        <v>44077</v>
      </c>
      <c r="F59">
        <v>8</v>
      </c>
    </row>
    <row r="60" spans="2:6" outlineLevel="1" x14ac:dyDescent="0.3">
      <c r="B60" t="s">
        <v>194</v>
      </c>
    </row>
    <row r="61" spans="2:6" x14ac:dyDescent="0.3">
      <c r="B61" t="s">
        <v>195</v>
      </c>
    </row>
    <row r="62" spans="2:6" x14ac:dyDescent="0.3">
      <c r="B62" t="s">
        <v>196</v>
      </c>
    </row>
    <row r="63" spans="2:6" outlineLevel="1" x14ac:dyDescent="0.3">
      <c r="B63" s="31" t="s">
        <v>197</v>
      </c>
      <c r="D63" s="69">
        <v>44107</v>
      </c>
      <c r="E63" t="s">
        <v>198</v>
      </c>
      <c r="F63">
        <v>5</v>
      </c>
    </row>
    <row r="64" spans="2:6" outlineLevel="1" x14ac:dyDescent="0.3">
      <c r="B64" s="31" t="s">
        <v>199</v>
      </c>
    </row>
    <row r="65" spans="2:6" outlineLevel="1" x14ac:dyDescent="0.3">
      <c r="B65" t="s">
        <v>200</v>
      </c>
    </row>
    <row r="66" spans="2:6" x14ac:dyDescent="0.3">
      <c r="B66" t="s">
        <v>201</v>
      </c>
    </row>
    <row r="67" spans="2:6" x14ac:dyDescent="0.3">
      <c r="B67" t="s">
        <v>202</v>
      </c>
    </row>
    <row r="68" spans="2:6" x14ac:dyDescent="0.3">
      <c r="B68" t="s">
        <v>203</v>
      </c>
    </row>
    <row r="69" spans="2:6" x14ac:dyDescent="0.3">
      <c r="B69" s="31" t="s">
        <v>204</v>
      </c>
      <c r="D69" t="s">
        <v>205</v>
      </c>
      <c r="E69" t="s">
        <v>156</v>
      </c>
      <c r="F69">
        <v>7</v>
      </c>
    </row>
    <row r="70" spans="2:6" x14ac:dyDescent="0.3">
      <c r="B70" t="s">
        <v>206</v>
      </c>
    </row>
    <row r="71" spans="2:6" x14ac:dyDescent="0.3">
      <c r="B71" t="s">
        <v>207</v>
      </c>
    </row>
    <row r="72" spans="2:6" x14ac:dyDescent="0.3">
      <c r="B72" t="s">
        <v>208</v>
      </c>
    </row>
    <row r="73" spans="2:6" x14ac:dyDescent="0.3">
      <c r="B73" t="s">
        <v>209</v>
      </c>
    </row>
    <row r="74" spans="2:6" x14ac:dyDescent="0.3">
      <c r="B74" t="s">
        <v>210</v>
      </c>
    </row>
    <row r="75" spans="2:6" x14ac:dyDescent="0.3">
      <c r="B75" s="31" t="s">
        <v>211</v>
      </c>
      <c r="D75" t="s">
        <v>212</v>
      </c>
      <c r="E75" t="s">
        <v>213</v>
      </c>
      <c r="F75">
        <v>6</v>
      </c>
    </row>
    <row r="76" spans="2:6" x14ac:dyDescent="0.3">
      <c r="B76" t="s">
        <v>214</v>
      </c>
    </row>
    <row r="77" spans="2:6" x14ac:dyDescent="0.3">
      <c r="B77" t="s">
        <v>215</v>
      </c>
    </row>
    <row r="79" spans="2:6" x14ac:dyDescent="0.3">
      <c r="B79" s="31" t="s">
        <v>216</v>
      </c>
      <c r="D79" s="69">
        <v>43834</v>
      </c>
      <c r="E79" s="69">
        <v>43834</v>
      </c>
      <c r="F79">
        <v>1</v>
      </c>
    </row>
  </sheetData>
  <mergeCells count="4">
    <mergeCell ref="I2:R21"/>
    <mergeCell ref="E4:G6"/>
    <mergeCell ref="A2:G2"/>
    <mergeCell ref="A1:G1"/>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00000000-0002-0000-0200-000000000000}">
      <formula1>"IN PROGRESS, PAUSED, COMPLETED"</formula1>
    </dataValidation>
  </dataValidations>
  <pageMargins left="0.7" right="0.7" top="0.75" bottom="0.75" header="0.3" footer="0.3"/>
  <pageSetup paperSize="9" orientation="portrait"/>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creator>Harshada Topale</dc:creator>
  <cp:lastModifiedBy>Manvith Mogaveera</cp:lastModifiedBy>
  <dcterms:created xsi:type="dcterms:W3CDTF">2020-10-23T22:38:51Z</dcterms:created>
  <dcterms:modified xsi:type="dcterms:W3CDTF">2026-08-22T13:18:45Z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